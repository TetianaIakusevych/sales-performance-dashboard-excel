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7.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xl/python.xml" ContentType="application/vnd.ms-excel.pytho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C:\Users\tania\Desktop\Резюме\Portfolio\Tables\"/>
    </mc:Choice>
  </mc:AlternateContent>
  <xr:revisionPtr revIDLastSave="0" documentId="13_ncr:1_{E493700C-70FF-413A-AC9E-F3A46B4D9404}" xr6:coauthVersionLast="47" xr6:coauthVersionMax="47" xr10:uidLastSave="{00000000-0000-0000-0000-000000000000}"/>
  <bookViews>
    <workbookView xWindow="-108" yWindow="-108" windowWidth="23256" windowHeight="12456" xr2:uid="{00000000-000D-0000-FFFF-FFFF00000000}"/>
  </bookViews>
  <sheets>
    <sheet name="Dashbord Performance comercial" sheetId="3" r:id="rId1"/>
    <sheet name="SheetDashPerformace" sheetId="4" r:id="rId2"/>
    <sheet name="Dim_Gestor" sheetId="12" r:id="rId3"/>
    <sheet name="Dim_Clientes" sheetId="17" r:id="rId4"/>
    <sheet name="tb_Vendas_Cliente" sheetId="14" r:id="rId5"/>
    <sheet name="Dim_Produtos" sheetId="13" r:id="rId6"/>
  </sheets>
  <functionGroups builtInGroupCount="19"/>
  <definedNames>
    <definedName name="_xlnm._FilterDatabase" localSheetId="1" hidden="1">SheetDashPerformace!$AL$6:$AN$6</definedName>
    <definedName name="_xlchart.v1.0" hidden="1">SheetDashPerformace!$AL$7:$AL$26</definedName>
    <definedName name="_xlchart.v1.1" hidden="1">SheetDashPerformace!$AM$6</definedName>
    <definedName name="_xlchart.v1.2" hidden="1">SheetDashPerformace!$AM$7:$AM$26</definedName>
    <definedName name="_xlchart.v1.3" hidden="1">SheetDashPerformace!$AL$7:$AL$26</definedName>
    <definedName name="_xlchart.v1.4" hidden="1">SheetDashPerformace!$AM$6</definedName>
    <definedName name="_xlchart.v1.5" hidden="1">SheetDashPerformace!$AM$7:$AM$26</definedName>
    <definedName name="_xlcn.WorksheetConnection_Relatorio.xlsxDim_Produtos1" hidden="1">Dim_Produtos[]</definedName>
    <definedName name="_xlcn.WorksheetConnection_Relatorio1.xlsxDim_Clientes1" hidden="1">Dim_Clientes[]</definedName>
    <definedName name="_xlcn.WorksheetConnection_Relatorio1.xlsxDim_Gestor1" hidden="1">Dim_Gestor[]</definedName>
    <definedName name="_xlcn.WorksheetConnection_Relatorio1.xlsxF_Vendas_Cliente1" hidden="1">F_Vendas_Cliente[]</definedName>
    <definedName name="_xleta.AVERAGE" hidden="1" xlm="1">#NAME?</definedName>
    <definedName name="_xleta.CHOOSECOLS" hidden="1" xlm="1">#NAME?</definedName>
    <definedName name="_xleta.DAVERAGE" hidden="1" xlm="1">#NAME?</definedName>
    <definedName name="_xleta.IFERROR" hidden="1" xlm="1">#NAME?</definedName>
    <definedName name="_xleta.ISBLANK" hidden="1" xlm="1">#NAME?</definedName>
    <definedName name="_xleta.ISNA" hidden="1" xlm="1">#NAME?</definedName>
    <definedName name="_xleta.ISNUMBER" hidden="1" xlm="1">#NAME?</definedName>
    <definedName name="_xleta.LEFT" hidden="1" xlm="1">#NAME?</definedName>
    <definedName name="_xleta.OR" hidden="1" xlm="1">#NAME?</definedName>
    <definedName name="_xleta.PY" hidden="1" xlm="1">#NAME?</definedName>
    <definedName name="_xleta.ROUND" hidden="1" xlm="1">#NAME?</definedName>
    <definedName name="_xleta.SHEET" hidden="1" xlm="1">#NAME?</definedName>
    <definedName name="_xleta.T" hidden="1" xlm="1">#NAME?</definedName>
    <definedName name="_xlpm.Preco_Medio" hidden="1" xlm="1">#NAME?</definedName>
    <definedName name="_xlpm.Quantidade" hidden="1" xlm="1">#NAME?</definedName>
    <definedName name="_xlpm.Valor" hidden="1" xlm="1">#NAME?</definedName>
    <definedName name="End_Date">#REF!</definedName>
    <definedName name="ExternalData_2" localSheetId="5" hidden="1">Dim_Produtos!$A$1:$F$31</definedName>
    <definedName name="ExternalData_3" localSheetId="4" hidden="1">tb_Vendas_Cliente!$A$1:$K$901</definedName>
    <definedName name="ExternalData_5" localSheetId="3" hidden="1">Dim_Clientes!$A$1:$E$31</definedName>
    <definedName name="ProductID_Selected">#REF!</definedName>
    <definedName name="Sales_Qty_Neg">SUMIFS(F_Vendas_Cliente[Qtd],F_Vendas_Cliente[Qtd],"&lt;0")</definedName>
    <definedName name="Sales_Qty_Pos">SUMIFS(F_Vendas_Cliente[Qtd],F_Vendas_Cliente[Qtd],"&gt;0")</definedName>
    <definedName name="Sales_Value">F_Vendas_Cliente[Valor]</definedName>
    <definedName name="Slicer_Categoria">#N/A</definedName>
    <definedName name="Slicer_Gama_Permanente1">#N/A</definedName>
    <definedName name="Start_Date">#REF!</definedName>
    <definedName name="Timeline_Data">#N/A</definedName>
  </definedNames>
  <calcPr calcId="191028" concurrentCalc="0"/>
  <pivotCaches>
    <pivotCache cacheId="160" r:id="rId7"/>
    <pivotCache cacheId="163" r:id="rId8"/>
    <pivotCache cacheId="653" r:id="rId9"/>
    <pivotCache cacheId="3056" r:id="rId10"/>
    <pivotCache cacheId="3347" r:id="rId11"/>
    <pivotCache cacheId="3350" r:id="rId12"/>
    <pivotCache cacheId="3353" r:id="rId13"/>
    <pivotCache cacheId="3356" r:id="rId14"/>
    <pivotCache cacheId="3359" r:id="rId15"/>
    <pivotCache cacheId="3362" r:id="rId16"/>
    <pivotCache cacheId="3365" r:id="rId17"/>
    <pivotCache cacheId="3368" r:id="rId18"/>
    <pivotCache cacheId="3371" r:id="rId19"/>
    <pivotCache cacheId="3374" r:id="rId20"/>
    <pivotCache cacheId="3377" r:id="rId21"/>
  </pivotCaches>
  <extLst>
    <ext xmlns:x14="http://schemas.microsoft.com/office/spreadsheetml/2009/9/main" uri="{876F7934-8845-4945-9796-88D515C7AA90}">
      <x14:pivotCaches>
        <pivotCache cacheId="166" r:id="rId22"/>
      </x14:pivotCaches>
    </ext>
    <ext xmlns:x14="http://schemas.microsoft.com/office/spreadsheetml/2009/9/main" uri="{BBE1A952-AA13-448e-AADC-164F8A28A991}">
      <x14:slicerCaches>
        <x14:slicerCache r:id="rId23"/>
        <x14:slicerCache r:id="rId24"/>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67" r:id="rId25"/>
      </x15:timelineCachePivotCaches>
    </ext>
    <ext xmlns:x15="http://schemas.microsoft.com/office/spreadsheetml/2010/11/main" uri="{D0CA8CA8-9F24-4464-BF8E-62219DCF47F9}">
      <x15:timelineCacheRefs>
        <x15:timelineCacheRef r:id="rId2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Vendas_Cliente" name="F_Vendas_Cliente" connection="WorksheetConnection_Relatorio1.xlsx!F_Vendas_Cliente"/>
          <x15:modelTable id="Dim_Gestor" name="Dim_Gestor" connection="WorksheetConnection_Relatorio1.xlsx!Dim_Gestor"/>
          <x15:modelTable id="Dim_Clientes" name="Dim_Clientes" connection="WorksheetConnection_Relatorio1.xlsx!Dim_Clientes"/>
          <x15:modelTable id="Dim_Produtos" name="Dim_Produtos" connection="WorksheetConnection_Relatorio.xlsx!Dim_Produtos"/>
          <x15:modelTable id="Calendar" name="Dim_Calendar" connection="Connection"/>
        </x15:modelTables>
        <x15:modelRelationships>
          <x15:modelRelationship fromTable="F_Vendas_Cliente" fromColumn="ID_Produto" toTable="Dim_Produtos" toColumn="ID_Produto"/>
          <x15:modelRelationship fromTable="F_Vendas_Cliente" fromColumn="ID_Gestor" toTable="Dim_Gestor" toColumn="ID_Gestor"/>
          <x15:modelRelationship fromTable="F_Vendas_Cliente" fromColumn="ID_Client" toTable="Dim_Clientes" toColumn="ID_Client"/>
          <x15:modelRelationship fromTable="F_Vendas_Cliente" fromColumn="Data" toTable="Dim_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17" i="4" l="1"/>
  <c r="AS23" i="4"/>
  <c r="AT17" i="4"/>
  <c r="AS18" i="4"/>
  <c r="AT18" i="4"/>
  <c r="AS19" i="4"/>
  <c r="AT19" i="4"/>
  <c r="AS20" i="4"/>
  <c r="AT20" i="4"/>
  <c r="AS21" i="4"/>
  <c r="AT21" i="4"/>
  <c r="AS22" i="4"/>
  <c r="AT22" i="4"/>
  <c r="AT23" i="4"/>
  <c r="AM37" i="4"/>
  <c r="AM38" i="4"/>
  <c r="AP8" i="4"/>
  <c r="AP9" i="4"/>
  <c r="AP10" i="4"/>
  <c r="AP11" i="4"/>
  <c r="AP12" i="4"/>
  <c r="AP13" i="4"/>
  <c r="AP14" i="4"/>
  <c r="AP15" i="4"/>
  <c r="AP16" i="4"/>
  <c r="AP17" i="4"/>
  <c r="AP18" i="4"/>
  <c r="AP19" i="4"/>
  <c r="AP20" i="4"/>
  <c r="AP21" i="4"/>
  <c r="AP22" i="4"/>
  <c r="AP23" i="4"/>
  <c r="AP24" i="4"/>
  <c r="AP25" i="4"/>
  <c r="AP26" i="4"/>
  <c r="AP27" i="4"/>
  <c r="AP28" i="4"/>
  <c r="AP29" i="4"/>
  <c r="AP30" i="4"/>
  <c r="AP31" i="4"/>
  <c r="AP32" i="4"/>
  <c r="AP33" i="4"/>
  <c r="AP7" i="4"/>
  <c r="S6" i="4"/>
  <c r="S7" i="4"/>
  <c r="S8" i="4"/>
  <c r="S9" i="4"/>
  <c r="S10" i="4"/>
  <c r="T6" i="4" a="1"/>
  <c r="T6" i="4"/>
  <c r="U6" i="4"/>
  <c r="U7" i="4"/>
  <c r="U8" i="4"/>
  <c r="U9" i="4"/>
  <c r="U10" i="4"/>
  <c r="V8" i="4"/>
  <c r="V9" i="4"/>
  <c r="V10" i="4"/>
  <c r="U11" i="4"/>
  <c r="V11" i="4"/>
  <c r="V7" i="4"/>
  <c r="V6" i="4"/>
  <c r="A1" i="4"/>
  <c r="B12" i="4"/>
  <c r="F8" i="4"/>
  <c r="F11" i="4"/>
  <c r="H8" i="4"/>
  <c r="H12" i="4"/>
  <c r="F19" i="4"/>
  <c r="D19" i="4"/>
  <c r="B19" i="4"/>
  <c r="W11" i="4"/>
  <c r="H11" i="4"/>
  <c r="W10" i="4"/>
  <c r="W9" i="4"/>
  <c r="H9" i="4"/>
  <c r="W8" i="4"/>
  <c r="M8" i="4"/>
  <c r="J8" i="4"/>
  <c r="W7" i="4"/>
  <c r="W6" i="4"/>
  <c r="D8" i="4"/>
  <c r="B8"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958240-E5E6-446B-B9B6-F5713EE34E73}" name="Connection" type="104" refreshedVersion="0" background="1">
    <extLst>
      <ext xmlns:x15="http://schemas.microsoft.com/office/spreadsheetml/2010/11/main" uri="{DE250136-89BD-433C-8126-D09CA5730AF9}">
        <x15:connection id="Calendar"/>
      </ext>
    </extLst>
  </connection>
  <connection id="2" xr16:uid="{4234539C-EEE2-462B-8207-F1F223FB4C5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414A75B8-20E3-42F1-A04B-5F3ADB5CE43D}" name="WorksheetConnection_Relatorio.xlsx!Dim_Produtos" type="102" refreshedVersion="8" minRefreshableVersion="5">
    <extLst>
      <ext xmlns:x15="http://schemas.microsoft.com/office/spreadsheetml/2010/11/main" uri="{DE250136-89BD-433C-8126-D09CA5730AF9}">
        <x15:connection id="Dim_Produtos">
          <x15:rangePr sourceName="_xlcn.WorksheetConnection_Relatorio.xlsxDim_Produtos1"/>
        </x15:connection>
      </ext>
    </extLst>
  </connection>
  <connection id="4" xr16:uid="{EFE9271B-EC44-412F-9718-6B5655972B33}" name="WorksheetConnection_Relatorio1.xlsx!Dim_Clientes" type="102" refreshedVersion="8" minRefreshableVersion="5">
    <extLst>
      <ext xmlns:x15="http://schemas.microsoft.com/office/spreadsheetml/2010/11/main" uri="{DE250136-89BD-433C-8126-D09CA5730AF9}">
        <x15:connection id="Dim_Clientes">
          <x15:rangePr sourceName="_xlcn.WorksheetConnection_Relatorio1.xlsxDim_Clientes1"/>
        </x15:connection>
      </ext>
    </extLst>
  </connection>
  <connection id="5" xr16:uid="{4D01378B-4111-4148-AEF2-E412E64FDC5E}" name="WorksheetConnection_Relatorio1.xlsx!Dim_Gestor" type="102" refreshedVersion="8" minRefreshableVersion="5">
    <extLst>
      <ext xmlns:x15="http://schemas.microsoft.com/office/spreadsheetml/2010/11/main" uri="{DE250136-89BD-433C-8126-D09CA5730AF9}">
        <x15:connection id="Dim_Gestor">
          <x15:rangePr sourceName="_xlcn.WorksheetConnection_Relatorio1.xlsxDim_Gestor1"/>
        </x15:connection>
      </ext>
    </extLst>
  </connection>
  <connection id="6" xr16:uid="{990D6A83-1534-423E-B07E-33983D0EC29C}" name="WorksheetConnection_Relatorio1.xlsx!F_Vendas_Cliente" type="102" refreshedVersion="8" minRefreshableVersion="5">
    <extLst>
      <ext xmlns:x15="http://schemas.microsoft.com/office/spreadsheetml/2010/11/main" uri="{DE250136-89BD-433C-8126-D09CA5730AF9}">
        <x15:connection id="F_Vendas_Cliente">
          <x15:rangePr sourceName="_xlcn.WorksheetConnection_Relatorio1.xlsxF_Vendas_Cliente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<sst xmlns="http://schemas.openxmlformats.org/spreadsheetml/2006/main" count="1353" uniqueCount="188">
  <si>
    <t>ID_Produto</t>
  </si>
  <si>
    <t>Tipo_Movimento</t>
  </si>
  <si>
    <t>Devolução</t>
  </si>
  <si>
    <t>Data</t>
  </si>
  <si>
    <t>Qtd</t>
  </si>
  <si>
    <t>Janeiro</t>
  </si>
  <si>
    <t>Fevereiro</t>
  </si>
  <si>
    <t>Março</t>
  </si>
  <si>
    <t>Abril</t>
  </si>
  <si>
    <t>Maio</t>
  </si>
  <si>
    <t>Junho</t>
  </si>
  <si>
    <t>Julho</t>
  </si>
  <si>
    <t>Agosto</t>
  </si>
  <si>
    <t>Setembro</t>
  </si>
  <si>
    <t>Outubro</t>
  </si>
  <si>
    <t>Novembro</t>
  </si>
  <si>
    <t>Dezembro</t>
  </si>
  <si>
    <t>Sum of Valor</t>
  </si>
  <si>
    <t>Valor</t>
  </si>
  <si>
    <t>Margem</t>
  </si>
  <si>
    <t>Categoria</t>
  </si>
  <si>
    <t>Vendas total</t>
  </si>
  <si>
    <t>Lucro</t>
  </si>
  <si>
    <t>VS 2024</t>
  </si>
  <si>
    <t>Taxa de Devolução %</t>
  </si>
  <si>
    <t>artigos</t>
  </si>
  <si>
    <t>Total Valor</t>
  </si>
  <si>
    <t>Sum of Lucro</t>
  </si>
  <si>
    <t>Margem %</t>
  </si>
  <si>
    <t>YoY % (2025 vs 2024)</t>
  </si>
  <si>
    <t>Return Rate (€) %</t>
  </si>
  <si>
    <t>Produtos Ativos</t>
  </si>
  <si>
    <t>ABC Analysis</t>
  </si>
  <si>
    <t>Revenue vs Profit vs Margin</t>
  </si>
  <si>
    <t>Row Labels</t>
  </si>
  <si>
    <t>Acumulado</t>
  </si>
  <si>
    <t>Classe ABC</t>
  </si>
  <si>
    <t>Revenue Distribution by Category</t>
  </si>
  <si>
    <t>Profit by salesperson</t>
  </si>
  <si>
    <t>Top 5 Products by Profit (mil €)</t>
  </si>
  <si>
    <t>Total Lucro</t>
  </si>
  <si>
    <t>%</t>
  </si>
  <si>
    <t>Grand Total</t>
  </si>
  <si>
    <t>Growth €</t>
  </si>
  <si>
    <t>Return Impact</t>
  </si>
  <si>
    <t>Top 10 Share</t>
  </si>
  <si>
    <t>Growth</t>
  </si>
  <si>
    <t>Top Products Share</t>
  </si>
  <si>
    <t>ID_Gestor</t>
  </si>
  <si>
    <t>Cliente_Curto</t>
  </si>
  <si>
    <t>Flag_Qtd_Neg</t>
  </si>
  <si>
    <t>Flag_Valor_Neg</t>
  </si>
  <si>
    <t>Flag_Zero_Row</t>
  </si>
  <si>
    <t>ID_Client</t>
  </si>
  <si>
    <t>Venda</t>
  </si>
  <si>
    <t>Gestor</t>
  </si>
  <si>
    <t>Cliente_Completo</t>
  </si>
  <si>
    <t>País</t>
  </si>
  <si>
    <t>Tipo</t>
  </si>
  <si>
    <t>Gama Permanente</t>
  </si>
  <si>
    <t>Designação</t>
  </si>
  <si>
    <t>Sub-Categoria</t>
  </si>
  <si>
    <t>Área</t>
  </si>
  <si>
    <t>Gestor 1</t>
  </si>
  <si>
    <t>Gestor 2</t>
  </si>
  <si>
    <t>Gestor 3</t>
  </si>
  <si>
    <t>Gestor 4</t>
  </si>
  <si>
    <t>Gestor 5</t>
  </si>
  <si>
    <t>Gestor 6</t>
  </si>
  <si>
    <t>Attr_9</t>
  </si>
  <si>
    <t>Outdoor Gear</t>
  </si>
  <si>
    <t>Attr_47</t>
  </si>
  <si>
    <t>Attr_100</t>
  </si>
  <si>
    <t>Attr_62</t>
  </si>
  <si>
    <t>Smart Living</t>
  </si>
  <si>
    <t>Attr_52</t>
  </si>
  <si>
    <t>Attr_26</t>
  </si>
  <si>
    <t>Attr_87</t>
  </si>
  <si>
    <t>Attr_96</t>
  </si>
  <si>
    <t>Attr_89</t>
  </si>
  <si>
    <t>Attr_6</t>
  </si>
  <si>
    <t>Kitchen Pro</t>
  </si>
  <si>
    <t>Attr_36</t>
  </si>
  <si>
    <t>Attr_67</t>
  </si>
  <si>
    <t>Attr_41</t>
  </si>
  <si>
    <t>Attr_86</t>
  </si>
  <si>
    <t>Home Essentials</t>
  </si>
  <si>
    <t>Attr_97</t>
  </si>
  <si>
    <t>Attr_61</t>
  </si>
  <si>
    <t>Attr_70</t>
  </si>
  <si>
    <t>Electronics Plus</t>
  </si>
  <si>
    <t>Attr_75</t>
  </si>
  <si>
    <t>Attr_23</t>
  </si>
  <si>
    <t>Attr_65</t>
  </si>
  <si>
    <t>Attr_28</t>
  </si>
  <si>
    <t>Attr_39</t>
  </si>
  <si>
    <t>Attr_99</t>
  </si>
  <si>
    <t>Attr_84</t>
  </si>
  <si>
    <t>Attr_32</t>
  </si>
  <si>
    <t>Attr_58</t>
  </si>
  <si>
    <t>Attr_12</t>
  </si>
  <si>
    <t>Attr_37</t>
  </si>
  <si>
    <t>Attr_11</t>
  </si>
  <si>
    <t>Attr_42</t>
  </si>
  <si>
    <t>Attr_82</t>
  </si>
  <si>
    <t>Attr_63</t>
  </si>
  <si>
    <t>Attr_91</t>
  </si>
  <si>
    <t>Attr_18</t>
  </si>
  <si>
    <t>Attr_64</t>
  </si>
  <si>
    <t>Attr_54</t>
  </si>
  <si>
    <t>Attr_56</t>
  </si>
  <si>
    <t>Attr_1</t>
  </si>
  <si>
    <t>Attr_88</t>
  </si>
  <si>
    <t>Attr_68</t>
  </si>
  <si>
    <t>Attr_59</t>
  </si>
  <si>
    <t>Attr_35</t>
  </si>
  <si>
    <t>Attr_30</t>
  </si>
  <si>
    <t>Attr_77</t>
  </si>
  <si>
    <t>Attr_72</t>
  </si>
  <si>
    <t>Attr_45</t>
  </si>
  <si>
    <t>Attr_74</t>
  </si>
  <si>
    <t>Attr_3</t>
  </si>
  <si>
    <t>Attr_15</t>
  </si>
  <si>
    <t>Attr_94</t>
  </si>
  <si>
    <t>Attr_95</t>
  </si>
  <si>
    <t>Attr_31</t>
  </si>
  <si>
    <t>Attr_55</t>
  </si>
  <si>
    <t>Attr_17</t>
  </si>
  <si>
    <t>Attr_13</t>
  </si>
  <si>
    <t>NovaCorp_1</t>
  </si>
  <si>
    <t>BlueWave_2</t>
  </si>
  <si>
    <t>Attr_51</t>
  </si>
  <si>
    <t>Orion_3</t>
  </si>
  <si>
    <t>Attr_10</t>
  </si>
  <si>
    <t>NovaCorp_4</t>
  </si>
  <si>
    <t>Attr_78</t>
  </si>
  <si>
    <t>Attr_24</t>
  </si>
  <si>
    <t>Urbanix_5</t>
  </si>
  <si>
    <t>Attr_4</t>
  </si>
  <si>
    <t>GreenField_6</t>
  </si>
  <si>
    <t>Attr_46</t>
  </si>
  <si>
    <t>Orion_7</t>
  </si>
  <si>
    <t>Orion_8</t>
  </si>
  <si>
    <t>GreenField_9</t>
  </si>
  <si>
    <t>Skyline_10</t>
  </si>
  <si>
    <t>BlueWave_11</t>
  </si>
  <si>
    <t>Urbanix_12</t>
  </si>
  <si>
    <t>Attr_19</t>
  </si>
  <si>
    <t>Orion_13</t>
  </si>
  <si>
    <t>Attr_85</t>
  </si>
  <si>
    <t>Attr_71</t>
  </si>
  <si>
    <t>Urbanix_14</t>
  </si>
  <si>
    <t>Attr_43</t>
  </si>
  <si>
    <t>Skyline_15</t>
  </si>
  <si>
    <t>Attr_79</t>
  </si>
  <si>
    <t>Orion_16</t>
  </si>
  <si>
    <t>Skyline_17</t>
  </si>
  <si>
    <t>Atlas_18</t>
  </si>
  <si>
    <t>Attr_98</t>
  </si>
  <si>
    <t>Orion_19</t>
  </si>
  <si>
    <t>Urbanix_20</t>
  </si>
  <si>
    <t>Attr_34</t>
  </si>
  <si>
    <t>BlueWave_21</t>
  </si>
  <si>
    <t>GreenField_22</t>
  </si>
  <si>
    <t>Skyline_23</t>
  </si>
  <si>
    <t>NovaCorp_24</t>
  </si>
  <si>
    <t>Attr_49</t>
  </si>
  <si>
    <t>GreenField_25</t>
  </si>
  <si>
    <t>Attr_7</t>
  </si>
  <si>
    <t>Attr_21</t>
  </si>
  <si>
    <t>Skyline_26</t>
  </si>
  <si>
    <t>Orion_27</t>
  </si>
  <si>
    <t>BlueWave_28</t>
  </si>
  <si>
    <t>Attr_40</t>
  </si>
  <si>
    <t>Urbanix_29</t>
  </si>
  <si>
    <t>BlueWave_30</t>
  </si>
  <si>
    <t>Avg_Sales</t>
  </si>
  <si>
    <t>Avg_Margin</t>
  </si>
  <si>
    <t>Quadrant</t>
  </si>
  <si>
    <t>Niche</t>
  </si>
  <si>
    <t>Problem</t>
  </si>
  <si>
    <t>Star</t>
  </si>
  <si>
    <t>Volume</t>
  </si>
  <si>
    <t>Sum of Total Valor</t>
  </si>
  <si>
    <t>Revenue</t>
  </si>
  <si>
    <t>Margin (%)</t>
  </si>
  <si>
    <t>Total Revenue</t>
  </si>
  <si>
    <t>Cumulative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</si>
</sst>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quot;₴&quot;_-;\-* #,##0.00\ &quot;₴&quot;_-;_-* &quot;-&quot;??\ &quot;₴&quot;_-;_-@_-"/>
    <numFmt numFmtId="165" formatCode="_-[$€-2]\ * #,##0.00_-;\-[$€-2]\ * #,##0.00_-;_-[$€-2]\ * &quot;-&quot;??_-;_-@_-"/>
    <numFmt numFmtId="166" formatCode="_-[$€-2]\ * #,##0_-;\-[$€-2]\ * #,##0_-;_-[$€-2]\ * &quot;-&quot;??_-;_-@_-"/>
    <numFmt numFmtId="167" formatCode="yyyy\-mm\-dd"/>
  </numFmts>
  <fonts count="14">
    <font>
      <sz val="11"/>
      <color theme="1"/>
      <name val="Aptos Narrow"/>
      <family val="2"/>
      <scheme val="minor"/>
    </font>
    <font>
      <sz val="9.35"/>
      <color rgb="FF000000"/>
      <name val="Times-Roman"/>
    </font>
    <font>
      <sz val="8"/>
      <name val="Aptos Narrow"/>
      <family val="2"/>
      <scheme val="minor"/>
    </font>
    <font>
      <sz val="11"/>
      <color rgb="FF000000"/>
      <name val="Aptos Narrow"/>
      <family val="2"/>
      <charset val="204"/>
      <scheme val="minor"/>
    </font>
    <font>
      <sz val="11"/>
      <color theme="1"/>
      <name val="Aptos Narrow"/>
      <family val="2"/>
      <scheme val="minor"/>
    </font>
    <font>
      <sz val="10"/>
      <name val="Arial"/>
      <family val="2"/>
    </font>
    <font>
      <sz val="11"/>
      <name val="Calibri"/>
      <family val="2"/>
    </font>
    <font>
      <b/>
      <sz val="11"/>
      <color theme="1"/>
      <name val="Aptos Narrow"/>
      <family val="2"/>
      <scheme val="minor"/>
    </font>
    <font>
      <b/>
      <sz val="16"/>
      <color rgb="FF000000"/>
      <name val="Aptos Narrow"/>
      <family val="2"/>
      <scheme val="minor"/>
    </font>
    <font>
      <b/>
      <sz val="18"/>
      <color rgb="FF000000"/>
      <name val="Aptos Narrow"/>
      <family val="2"/>
      <scheme val="minor"/>
    </font>
    <font>
      <b/>
      <sz val="14"/>
      <color rgb="FF595959"/>
      <name val="Aptos Narrow"/>
      <family val="2"/>
      <scheme val="minor"/>
    </font>
    <font>
      <sz val="12"/>
      <color theme="1"/>
      <name val="Aptos"/>
      <family val="2"/>
    </font>
    <font>
      <b/>
      <sz val="12"/>
      <color theme="0"/>
      <name val="Aptos Narrow"/>
      <family val="2"/>
      <scheme val="minor"/>
    </font>
    <font>
      <sz val="11"/>
      <color indexed="8"/>
      <name val="Calibri"/>
      <family val="2"/>
      <charset val="204"/>
    </font>
  </fonts>
  <fills count="8">
    <fill>
      <patternFill patternType="none"/>
    </fill>
    <fill>
      <patternFill patternType="gray125"/>
    </fill>
    <fill>
      <patternFill patternType="solid">
        <fgColor rgb="FF92D05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2" tint="-0.499984740745262"/>
        <bgColor indexed="64"/>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0" fontId="5" fillId="0" borderId="0"/>
    <xf numFmtId="9" fontId="4" fillId="0" borderId="0" applyFont="0" applyFill="0" applyBorder="0" applyAlignment="0" applyProtection="0"/>
  </cellStyleXfs>
  <cellXfs count="37">
    <xf numFmtId="0" fontId="0" fillId="0" borderId="0" xfId="0"/>
    <xf numFmtId="0" fontId="1" fillId="0" borderId="0" xfId="0" applyFont="1"/>
    <xf numFmtId="0" fontId="3" fillId="2" borderId="0" xfId="0" applyFont="1" applyFill="1" applyAlignment="1">
      <alignment horizontal="left" vertical="center"/>
    </xf>
    <xf numFmtId="165" fontId="0" fillId="0" borderId="0" xfId="0" applyNumberFormat="1"/>
    <xf numFmtId="0" fontId="0" fillId="2" borderId="0" xfId="0" applyFill="1"/>
    <xf numFmtId="0" fontId="0" fillId="0" borderId="0" xfId="0" pivotButton="1"/>
    <xf numFmtId="9" fontId="0" fillId="0" borderId="0" xfId="0" applyNumberFormat="1"/>
    <xf numFmtId="9" fontId="0" fillId="0" borderId="0" xfId="2" applyFont="1"/>
    <xf numFmtId="10" fontId="0" fillId="0" borderId="0" xfId="0" applyNumberFormat="1"/>
    <xf numFmtId="10" fontId="0" fillId="0" borderId="0" xfId="2" applyNumberFormat="1" applyFont="1"/>
    <xf numFmtId="1" fontId="0" fillId="0" borderId="0" xfId="0" applyNumberFormat="1"/>
    <xf numFmtId="0" fontId="6" fillId="2" borderId="0" xfId="3" applyFont="1" applyFill="1" applyAlignment="1">
      <alignment vertical="center"/>
    </xf>
    <xf numFmtId="0" fontId="0" fillId="0" borderId="0" xfId="0" applyAlignment="1">
      <alignment horizontal="left"/>
    </xf>
    <xf numFmtId="9" fontId="0" fillId="2" borderId="0" xfId="2" applyFont="1" applyFill="1"/>
    <xf numFmtId="0" fontId="0" fillId="4" borderId="0" xfId="0" applyFill="1"/>
    <xf numFmtId="0" fontId="0" fillId="5" borderId="0" xfId="0" applyFill="1"/>
    <xf numFmtId="0" fontId="7" fillId="3" borderId="1" xfId="0" applyFont="1" applyFill="1" applyBorder="1"/>
    <xf numFmtId="0" fontId="7" fillId="0" borderId="0" xfId="0" applyFont="1" applyAlignment="1">
      <alignment horizontal="center" vertical="center" wrapText="1"/>
    </xf>
    <xf numFmtId="0" fontId="8" fillId="5" borderId="0" xfId="0" applyFont="1" applyFill="1" applyAlignment="1">
      <alignment horizontal="center" vertical="center" readingOrder="1"/>
    </xf>
    <xf numFmtId="0" fontId="10" fillId="2" borderId="0" xfId="0" applyFont="1" applyFill="1"/>
    <xf numFmtId="0" fontId="8" fillId="2" borderId="0" xfId="0" applyFont="1" applyFill="1" applyAlignment="1">
      <alignment horizontal="center" vertical="center" readingOrder="1"/>
    </xf>
    <xf numFmtId="0" fontId="11" fillId="6" borderId="0" xfId="0" applyFont="1" applyFill="1"/>
    <xf numFmtId="0" fontId="0" fillId="6" borderId="0" xfId="0" applyFill="1"/>
    <xf numFmtId="166" fontId="0" fillId="0" borderId="0" xfId="1" applyNumberFormat="1" applyFont="1"/>
    <xf numFmtId="165" fontId="0" fillId="0" borderId="0" xfId="1" applyNumberFormat="1" applyFont="1"/>
    <xf numFmtId="0" fontId="12" fillId="7" borderId="0" xfId="0" applyFont="1" applyFill="1" applyAlignment="1">
      <alignment horizontal="center" vertical="center" wrapText="1"/>
    </xf>
    <xf numFmtId="0" fontId="13" fillId="0" borderId="0" xfId="0" applyFont="1"/>
    <xf numFmtId="0" fontId="9" fillId="5" borderId="0" xfId="0" applyFont="1" applyFill="1" applyAlignment="1">
      <alignment horizontal="center" vertical="center" wrapText="1" readingOrder="1"/>
    </xf>
    <xf numFmtId="0" fontId="0" fillId="0" borderId="0" xfId="0" applyNumberFormat="1"/>
    <xf numFmtId="40" fontId="0" fillId="0" borderId="0" xfId="0" applyNumberFormat="1"/>
    <xf numFmtId="167" fontId="0" fillId="0" borderId="0" xfId="0" applyNumberFormat="1"/>
    <xf numFmtId="0" fontId="7" fillId="3" borderId="2" xfId="0" applyFont="1" applyFill="1" applyBorder="1" applyAlignment="1">
      <alignment horizontal="left"/>
    </xf>
    <xf numFmtId="0" fontId="0" fillId="0" borderId="0" xfId="0" applyBorder="1"/>
    <xf numFmtId="0" fontId="0" fillId="4" borderId="0" xfId="0" applyFill="1" applyBorder="1"/>
    <xf numFmtId="3" fontId="0" fillId="0" borderId="0" xfId="0" applyNumberFormat="1" applyBorder="1"/>
    <xf numFmtId="10" fontId="0" fillId="0" borderId="0" xfId="0" applyNumberFormat="1" applyBorder="1"/>
    <xf numFmtId="0" fontId="0" fillId="4" borderId="0" xfId="0" applyFill="1" applyBorder="1" applyAlignment="1">
      <alignment horizontal="left"/>
    </xf>
  </cellXfs>
  <cellStyles count="6">
    <cellStyle name="Currency" xfId="1" builtinId="4"/>
    <cellStyle name="Normal" xfId="0" builtinId="0"/>
    <cellStyle name="Normal 2 3 2 3" xfId="4" xr:uid="{BE5D4A67-FBEF-4AA3-A812-4942DF58E44D}"/>
    <cellStyle name="Normal 3" xfId="3" xr:uid="{66A0A20E-3DC6-4990-9A06-2E2613A7C218}"/>
    <cellStyle name="Percent" xfId="2" builtinId="5"/>
    <cellStyle name="Percent 2" xfId="5" xr:uid="{4327C07D-47F1-43A5-8C45-AB1EDD3C2617}"/>
  </cellStyles>
  <dxfs count="602">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65" formatCode="_-[$€-2]\ * #,##0.00_-;\-[$€-2]\ * #,##0.00_-;_-[$€-2]\ * &quot;-&quot;??_-;_-@_-"/>
    </dxf>
    <dxf>
      <numFmt numFmtId="165" formatCode="_-[$€-2]\ * #,##0.00_-;\-[$€-2]\ * #,##0.00_-;_-[$€-2]\ * &quot;-&quot;??_-;_-@_-"/>
    </dxf>
    <dxf>
      <numFmt numFmtId="14" formatCode="0.00%"/>
    </dxf>
    <dxf>
      <numFmt numFmtId="14" formatCode="0.00%"/>
    </dxf>
    <dxf>
      <numFmt numFmtId="14" formatCode="0.00%"/>
    </dxf>
    <dxf>
      <numFmt numFmtId="165" formatCode="_-[$€-2]\ * #,##0.00_-;\-[$€-2]\ * #,##0.00_-;_-[$€-2]\ * &quot;-&quot;??_-;_-@_-"/>
    </dxf>
    <dxf>
      <numFmt numFmtId="13" formatCode="0%"/>
    </dxf>
    <dxf>
      <numFmt numFmtId="13" formatCode="0%"/>
    </dxf>
    <dxf>
      <numFmt numFmtId="13" formatCode="0%"/>
    </dxf>
    <dxf>
      <numFmt numFmtId="165" formatCode="_-[$€-2]\ * #,##0.00_-;\-[$€-2]\ * #,##0.00_-;_-[$€-2]\ * &quot;-&quot;??_-;_-@_-"/>
    </dxf>
    <dxf>
      <numFmt numFmtId="1" formatCode="0"/>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numFmt numFmtId="165" formatCode="_-[$€-2]\ * #,##0.00_-;\-[$€-2]\ * #,##0.00_-;_-[$€-2]\ * &quot;-&quot;??_-;_-@_-"/>
    </dxf>
    <dxf>
      <numFmt numFmtId="13" formatCode="0%"/>
    </dxf>
    <dxf>
      <numFmt numFmtId="14" formatCode="0.00%"/>
    </dxf>
    <dxf>
      <numFmt numFmtId="14" formatCode="0.00%"/>
    </dxf>
    <dxf>
      <numFmt numFmtId="165" formatCode="_-[$€-2]\ * #,##0.00_-;\-[$€-2]\ * #,##0.00_-;_-[$€-2]\ * &quot;-&quot;??_-;_-@_-"/>
    </dxf>
    <dxf>
      <numFmt numFmtId="13" formatCode="0%"/>
    </dxf>
    <dxf>
      <numFmt numFmtId="13" formatCode="0%"/>
    </dxf>
    <dxf>
      <numFmt numFmtId="165" formatCode="_-[$€-2]\ * #,##0.00_-;\-[$€-2]\ * #,##0.00_-;_-[$€-2]\ * &quot;-&quot;??_-;_-@_-"/>
    </dxf>
    <dxf>
      <numFmt numFmtId="13" formatCode="0%"/>
    </dxf>
    <dxf>
      <numFmt numFmtId="1" formatCode="0"/>
    </dxf>
    <dxf>
      <numFmt numFmtId="1" formatCode="0"/>
    </dxf>
    <dxf>
      <numFmt numFmtId="165" formatCode="_-[$€-2]\ * #,##0.00_-;\-[$€-2]\ * #,##0.00_-;_-[$€-2]\ * &quot;-&quot;??_-;_-@_-"/>
    </dxf>
    <dxf>
      <font>
        <color rgb="FFC00000"/>
      </font>
    </dxf>
    <dxf>
      <font>
        <color theme="9"/>
      </font>
    </dxf>
    <dxf>
      <numFmt numFmtId="1" formatCode="0"/>
    </dxf>
    <dxf>
      <numFmt numFmtId="13" formatCode="0%"/>
    </dxf>
    <dxf>
      <numFmt numFmtId="165" formatCode="_-[$€-2]\ * #,##0.00_-;\-[$€-2]\ * #,##0.00_-;_-[$€-2]\ * &quot;-&quot;??_-;_-@_-"/>
    </dxf>
    <dxf>
      <numFmt numFmtId="165" formatCode="_-[$€-2]\ * #,##0.00_-;\-[$€-2]\ * #,##0.00_-;_-[$€-2]\ * &quot;-&quot;??_-;_-@_-"/>
    </dxf>
    <dxf>
      <numFmt numFmtId="14" formatCode="0.00%"/>
    </dxf>
    <dxf>
      <numFmt numFmtId="165" formatCode="_-[$€-2]\ * #,##0.00_-;\-[$€-2]\ * #,##0.00_-;_-[$€-2]\ * &quot;-&quot;??_-;_-@_-"/>
    </dxf>
    <dxf>
      <numFmt numFmtId="14" formatCode="0.00%"/>
    </dxf>
    <dxf>
      <numFmt numFmtId="13" formatCode="0%"/>
    </dxf>
    <dxf>
      <numFmt numFmtId="165" formatCode="_-[$€-2]\ * #,##0.00_-;\-[$€-2]\ * #,##0.00_-;_-[$€-2]\ * &quot;-&quot;??_-;_-@_-"/>
    </dxf>
    <dxf>
      <numFmt numFmtId="1" formatCode="0"/>
    </dxf>
    <dxf>
      <numFmt numFmtId="14" formatCode="0.00%"/>
    </dxf>
    <dxf>
      <numFmt numFmtId="165" formatCode="_-[$€-2]\ * #,##0.00_-;\-[$€-2]\ * #,##0.00_-;_-[$€-2]\ * &quot;-&quot;??_-;_-@_-"/>
    </dxf>
    <dxf>
      <numFmt numFmtId="13" formatCode="0%"/>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215F9A"/>
      <color rgb="FF135574"/>
      <color rgb="FF104862"/>
      <color rgb="FF1F2933"/>
      <color rgb="FF281F39"/>
      <color rgb="FF2C2C2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1/relationships/timelineCache" Target="timelineCaches/timelineCache1.xml"/><Relationship Id="rId117" Type="http://schemas.openxmlformats.org/officeDocument/2006/relationships/customXml" Target="../customXml/item80.xml"/><Relationship Id="rId21" Type="http://schemas.openxmlformats.org/officeDocument/2006/relationships/pivotCacheDefinition" Target="pivotCache/pivotCacheDefinition15.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84" Type="http://schemas.openxmlformats.org/officeDocument/2006/relationships/customXml" Target="../customXml/item47.xml"/><Relationship Id="rId89" Type="http://schemas.openxmlformats.org/officeDocument/2006/relationships/customXml" Target="../customXml/item52.xml"/><Relationship Id="rId112" Type="http://schemas.openxmlformats.org/officeDocument/2006/relationships/customXml" Target="../customXml/item75.xml"/><Relationship Id="rId16" Type="http://schemas.openxmlformats.org/officeDocument/2006/relationships/pivotCacheDefinition" Target="pivotCache/pivotCacheDefinition10.xml"/><Relationship Id="rId107" Type="http://schemas.openxmlformats.org/officeDocument/2006/relationships/customXml" Target="../customXml/item70.xml"/><Relationship Id="rId11" Type="http://schemas.openxmlformats.org/officeDocument/2006/relationships/pivotCacheDefinition" Target="pivotCache/pivotCacheDefinition5.xml"/><Relationship Id="rId32" Type="http://schemas.microsoft.com/office/2022/10/relationships/richValueRel" Target="richData/richValueRel.xml"/><Relationship Id="rId37" Type="http://schemas.openxmlformats.org/officeDocument/2006/relationships/calcChain" Target="calcChain.xml"/><Relationship Id="rId53" Type="http://schemas.openxmlformats.org/officeDocument/2006/relationships/customXml" Target="../customXml/item16.xml"/><Relationship Id="rId58" Type="http://schemas.openxmlformats.org/officeDocument/2006/relationships/customXml" Target="../customXml/item21.xml"/><Relationship Id="rId74" Type="http://schemas.openxmlformats.org/officeDocument/2006/relationships/customXml" Target="../customXml/item37.xml"/><Relationship Id="rId79" Type="http://schemas.openxmlformats.org/officeDocument/2006/relationships/customXml" Target="../customXml/item42.xml"/><Relationship Id="rId102" Type="http://schemas.openxmlformats.org/officeDocument/2006/relationships/customXml" Target="../customXml/item65.xml"/><Relationship Id="rId5" Type="http://schemas.openxmlformats.org/officeDocument/2006/relationships/worksheet" Target="worksheets/sheet5.xml"/><Relationship Id="rId90" Type="http://schemas.openxmlformats.org/officeDocument/2006/relationships/customXml" Target="../customXml/item53.xml"/><Relationship Id="rId95" Type="http://schemas.openxmlformats.org/officeDocument/2006/relationships/customXml" Target="../customXml/item58.xml"/><Relationship Id="rId22" Type="http://schemas.openxmlformats.org/officeDocument/2006/relationships/pivotCacheDefinition" Target="pivotCache/pivotCacheDefinition16.xml"/><Relationship Id="rId27" Type="http://schemas.openxmlformats.org/officeDocument/2006/relationships/theme" Target="theme/theme1.xml"/><Relationship Id="rId43" Type="http://schemas.openxmlformats.org/officeDocument/2006/relationships/customXml" Target="../customXml/item6.xml"/><Relationship Id="rId48" Type="http://schemas.openxmlformats.org/officeDocument/2006/relationships/customXml" Target="../customXml/item11.xml"/><Relationship Id="rId64" Type="http://schemas.openxmlformats.org/officeDocument/2006/relationships/customXml" Target="../customXml/item27.xml"/><Relationship Id="rId69" Type="http://schemas.openxmlformats.org/officeDocument/2006/relationships/customXml" Target="../customXml/item32.xml"/><Relationship Id="rId113" Type="http://schemas.openxmlformats.org/officeDocument/2006/relationships/customXml" Target="../customXml/item76.xml"/><Relationship Id="rId118" Type="http://schemas.openxmlformats.org/officeDocument/2006/relationships/customXml" Target="../customXml/item81.xml"/><Relationship Id="rId80" Type="http://schemas.openxmlformats.org/officeDocument/2006/relationships/customXml" Target="../customXml/item43.xml"/><Relationship Id="rId85" Type="http://schemas.openxmlformats.org/officeDocument/2006/relationships/customXml" Target="../customXml/item48.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33" Type="http://schemas.microsoft.com/office/2017/06/relationships/rdRichValue" Target="richData/rdrichvalue.xml"/><Relationship Id="rId38" Type="http://schemas.openxmlformats.org/officeDocument/2006/relationships/customXml" Target="../customXml/item1.xml"/><Relationship Id="rId59" Type="http://schemas.openxmlformats.org/officeDocument/2006/relationships/customXml" Target="../customXml/item22.xml"/><Relationship Id="rId103" Type="http://schemas.openxmlformats.org/officeDocument/2006/relationships/customXml" Target="../customXml/item66.xml"/><Relationship Id="rId108" Type="http://schemas.openxmlformats.org/officeDocument/2006/relationships/customXml" Target="../customXml/item71.xml"/><Relationship Id="rId54" Type="http://schemas.openxmlformats.org/officeDocument/2006/relationships/customXml" Target="../customXml/item17.xml"/><Relationship Id="rId70" Type="http://schemas.openxmlformats.org/officeDocument/2006/relationships/customXml" Target="../customXml/item33.xml"/><Relationship Id="rId75" Type="http://schemas.openxmlformats.org/officeDocument/2006/relationships/customXml" Target="../customXml/item38.xml"/><Relationship Id="rId91" Type="http://schemas.openxmlformats.org/officeDocument/2006/relationships/customXml" Target="../customXml/item54.xml"/><Relationship Id="rId96" Type="http://schemas.openxmlformats.org/officeDocument/2006/relationships/customXml" Target="../customXml/item59.xml"/><Relationship Id="rId1" Type="http://schemas.openxmlformats.org/officeDocument/2006/relationships/worksheet" Target="worksheets/sheet1.xml"/><Relationship Id="rId6" Type="http://schemas.openxmlformats.org/officeDocument/2006/relationships/worksheet" Target="worksheets/sheet6.xml"/><Relationship Id="rId23" Type="http://schemas.microsoft.com/office/2007/relationships/slicerCache" Target="slicerCaches/slicerCache1.xml"/><Relationship Id="rId28" Type="http://schemas.openxmlformats.org/officeDocument/2006/relationships/connections" Target="connections.xml"/><Relationship Id="rId49" Type="http://schemas.openxmlformats.org/officeDocument/2006/relationships/customXml" Target="../customXml/item12.xml"/><Relationship Id="rId114" Type="http://schemas.openxmlformats.org/officeDocument/2006/relationships/customXml" Target="../customXml/item77.xml"/><Relationship Id="rId119" Type="http://schemas.microsoft.com/office/2023/09/relationships/Python" Target="python.xml"/><Relationship Id="rId10" Type="http://schemas.openxmlformats.org/officeDocument/2006/relationships/pivotCacheDefinition" Target="pivotCache/pivotCacheDefinition4.xml"/><Relationship Id="rId31" Type="http://schemas.openxmlformats.org/officeDocument/2006/relationships/sheetMetadata" Target="metadata.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78" Type="http://schemas.openxmlformats.org/officeDocument/2006/relationships/customXml" Target="../customXml/item41.xml"/><Relationship Id="rId81" Type="http://schemas.openxmlformats.org/officeDocument/2006/relationships/customXml" Target="../customXml/item44.xml"/><Relationship Id="rId86" Type="http://schemas.openxmlformats.org/officeDocument/2006/relationships/customXml" Target="../customXml/item49.xml"/><Relationship Id="rId94" Type="http://schemas.openxmlformats.org/officeDocument/2006/relationships/customXml" Target="../customXml/item57.xml"/><Relationship Id="rId99" Type="http://schemas.openxmlformats.org/officeDocument/2006/relationships/customXml" Target="../customXml/item62.xml"/><Relationship Id="rId101" Type="http://schemas.openxmlformats.org/officeDocument/2006/relationships/customXml" Target="../customXml/item64.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2.xml"/><Relationship Id="rId109" Type="http://schemas.openxmlformats.org/officeDocument/2006/relationships/customXml" Target="../customXml/item72.xml"/><Relationship Id="rId34" Type="http://schemas.microsoft.com/office/2017/06/relationships/rdRichValueStructure" Target="richData/rdrichvaluestructure.xml"/><Relationship Id="rId50" Type="http://schemas.openxmlformats.org/officeDocument/2006/relationships/customXml" Target="../customXml/item13.xml"/><Relationship Id="rId55" Type="http://schemas.openxmlformats.org/officeDocument/2006/relationships/customXml" Target="../customXml/item18.xml"/><Relationship Id="rId76" Type="http://schemas.openxmlformats.org/officeDocument/2006/relationships/customXml" Target="../customXml/item39.xml"/><Relationship Id="rId97" Type="http://schemas.openxmlformats.org/officeDocument/2006/relationships/customXml" Target="../customXml/item60.xml"/><Relationship Id="rId104" Type="http://schemas.openxmlformats.org/officeDocument/2006/relationships/customXml" Target="../customXml/item67.xml"/><Relationship Id="rId120" Type="http://schemas.microsoft.com/office/2006/relationships/vbaProject" Target="vbaProject.bin"/><Relationship Id="rId7" Type="http://schemas.openxmlformats.org/officeDocument/2006/relationships/pivotCacheDefinition" Target="pivotCache/pivotCacheDefinition1.xml"/><Relationship Id="rId71" Type="http://schemas.openxmlformats.org/officeDocument/2006/relationships/customXml" Target="../customXml/item34.xml"/><Relationship Id="rId92" Type="http://schemas.openxmlformats.org/officeDocument/2006/relationships/customXml" Target="../customXml/item55.xml"/><Relationship Id="rId2" Type="http://schemas.openxmlformats.org/officeDocument/2006/relationships/worksheet" Target="worksheets/sheet2.xml"/><Relationship Id="rId29" Type="http://schemas.openxmlformats.org/officeDocument/2006/relationships/styles" Target="styles.xml"/><Relationship Id="rId24" Type="http://schemas.microsoft.com/office/2007/relationships/slicerCache" Target="slicerCaches/slicerCache2.xml"/><Relationship Id="rId40" Type="http://schemas.openxmlformats.org/officeDocument/2006/relationships/customXml" Target="../customXml/item3.xml"/><Relationship Id="rId45" Type="http://schemas.openxmlformats.org/officeDocument/2006/relationships/customXml" Target="../customXml/item8.xml"/><Relationship Id="rId66" Type="http://schemas.openxmlformats.org/officeDocument/2006/relationships/customXml" Target="../customXml/item29.xml"/><Relationship Id="rId87" Type="http://schemas.openxmlformats.org/officeDocument/2006/relationships/customXml" Target="../customXml/item50.xml"/><Relationship Id="rId110" Type="http://schemas.openxmlformats.org/officeDocument/2006/relationships/customXml" Target="../customXml/item73.xml"/><Relationship Id="rId115" Type="http://schemas.openxmlformats.org/officeDocument/2006/relationships/customXml" Target="../customXml/item78.xml"/><Relationship Id="rId61" Type="http://schemas.openxmlformats.org/officeDocument/2006/relationships/customXml" Target="../customXml/item24.xml"/><Relationship Id="rId82" Type="http://schemas.openxmlformats.org/officeDocument/2006/relationships/customXml" Target="../customXml/item45.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30" Type="http://schemas.openxmlformats.org/officeDocument/2006/relationships/sharedStrings" Target="sharedStrings.xml"/><Relationship Id="rId35" Type="http://schemas.microsoft.com/office/2017/06/relationships/rdRichValueTypes" Target="richData/rdRichValueTypes.xml"/><Relationship Id="rId56" Type="http://schemas.openxmlformats.org/officeDocument/2006/relationships/customXml" Target="../customXml/item19.xml"/><Relationship Id="rId77" Type="http://schemas.openxmlformats.org/officeDocument/2006/relationships/customXml" Target="../customXml/item40.xml"/><Relationship Id="rId100" Type="http://schemas.openxmlformats.org/officeDocument/2006/relationships/customXml" Target="../customXml/item63.xml"/><Relationship Id="rId105" Type="http://schemas.openxmlformats.org/officeDocument/2006/relationships/customXml" Target="../customXml/item68.xml"/><Relationship Id="rId8" Type="http://schemas.openxmlformats.org/officeDocument/2006/relationships/pivotCacheDefinition" Target="pivotCache/pivotCacheDefinition2.xml"/><Relationship Id="rId51" Type="http://schemas.openxmlformats.org/officeDocument/2006/relationships/customXml" Target="../customXml/item14.xml"/><Relationship Id="rId72" Type="http://schemas.openxmlformats.org/officeDocument/2006/relationships/customXml" Target="../customXml/item35.xml"/><Relationship Id="rId93" Type="http://schemas.openxmlformats.org/officeDocument/2006/relationships/customXml" Target="../customXml/item56.xml"/><Relationship Id="rId98" Type="http://schemas.openxmlformats.org/officeDocument/2006/relationships/customXml" Target="../customXml/item61.xml"/><Relationship Id="rId3" Type="http://schemas.openxmlformats.org/officeDocument/2006/relationships/worksheet" Target="worksheets/sheet3.xml"/><Relationship Id="rId25" Type="http://schemas.openxmlformats.org/officeDocument/2006/relationships/pivotCacheDefinition" Target="pivotCache/pivotCacheDefinition17.xml"/><Relationship Id="rId46" Type="http://schemas.openxmlformats.org/officeDocument/2006/relationships/customXml" Target="../customXml/item9.xml"/><Relationship Id="rId67" Type="http://schemas.openxmlformats.org/officeDocument/2006/relationships/customXml" Target="../customXml/item30.xml"/><Relationship Id="rId116" Type="http://schemas.openxmlformats.org/officeDocument/2006/relationships/customXml" Target="../customXml/item79.xml"/><Relationship Id="rId20" Type="http://schemas.openxmlformats.org/officeDocument/2006/relationships/pivotCacheDefinition" Target="pivotCache/pivotCacheDefinition14.xml"/><Relationship Id="rId41" Type="http://schemas.openxmlformats.org/officeDocument/2006/relationships/customXml" Target="../customXml/item4.xml"/><Relationship Id="rId62" Type="http://schemas.openxmlformats.org/officeDocument/2006/relationships/customXml" Target="../customXml/item25.xml"/><Relationship Id="rId83" Type="http://schemas.openxmlformats.org/officeDocument/2006/relationships/customXml" Target="../customXml/item46.xml"/><Relationship Id="rId88" Type="http://schemas.openxmlformats.org/officeDocument/2006/relationships/customXml" Target="../customXml/item51.xml"/><Relationship Id="rId111" Type="http://schemas.openxmlformats.org/officeDocument/2006/relationships/customXml" Target="../customXml/item74.xml"/><Relationship Id="rId15" Type="http://schemas.openxmlformats.org/officeDocument/2006/relationships/pivotCacheDefinition" Target="pivotCache/pivotCacheDefinition9.xml"/><Relationship Id="rId36" Type="http://schemas.openxmlformats.org/officeDocument/2006/relationships/powerPivotData" Target="model/item.data"/><Relationship Id="rId57" Type="http://schemas.openxmlformats.org/officeDocument/2006/relationships/customXml" Target="../customXml/item20.xml"/><Relationship Id="rId106" Type="http://schemas.openxmlformats.org/officeDocument/2006/relationships/customXml" Target="../customXml/item69.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mn-lt"/>
                <a:ea typeface="+mn-ea"/>
                <a:cs typeface="+mn-cs"/>
              </a:defRPr>
            </a:pPr>
            <a:r>
              <a:rPr lang="en-US" sz="1800" b="1" i="0" u="none" strike="noStrike" baseline="0"/>
              <a:t>Revenue Concentration (ABC Analysis)</a:t>
            </a:r>
            <a:br>
              <a:rPr lang="en-US" sz="1800" b="1" i="0" u="none" strike="noStrike" baseline="0"/>
            </a:br>
            <a:r>
              <a:rPr lang="en-US" sz="1800" b="1" i="0" u="none" strike="noStrike" baseline="0"/>
              <a:t>Top Categories Generate 80% of Total Revenue</a:t>
            </a:r>
            <a:endParaRPr lang="en-US" sz="1800" b="1" i="0" u="none" strike="noStrike" kern="1200" spc="0" baseline="0">
              <a:solidFill>
                <a:sysClr val="windowText" lastClr="000000"/>
              </a:solidFill>
              <a:latin typeface="+mn-lt"/>
              <a:ea typeface="+mn-ea"/>
              <a:cs typeface="+mn-cs"/>
            </a:endParaRP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mn-lt"/>
              <a:ea typeface="+mn-ea"/>
              <a:cs typeface="+mn-cs"/>
            </a:defRPr>
          </a:pPr>
          <a:endParaRPr lang="uk-UA"/>
        </a:p>
      </c:txPr>
    </c:title>
    <c:autoTitleDeleted val="0"/>
    <c:plotArea>
      <c:layout/>
      <c:barChart>
        <c:barDir val="col"/>
        <c:grouping val="clustered"/>
        <c:varyColors val="0"/>
        <c:ser>
          <c:idx val="0"/>
          <c:order val="0"/>
          <c:tx>
            <c:strRef>
              <c:f>SheetDashPerformace!$T$5</c:f>
              <c:strCache>
                <c:ptCount val="1"/>
                <c:pt idx="0">
                  <c:v>Total Revenue</c:v>
                </c:pt>
              </c:strCache>
            </c:strRef>
          </c:tx>
          <c:spPr>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ln>
              <a:noFill/>
            </a:ln>
            <a:effectLst/>
          </c:spPr>
          <c:invertIfNegative val="0"/>
          <c:cat>
            <c:strRef>
              <c:f>SheetDashPerformace!$S$6:$S$35</c:f>
              <c:strCache>
                <c:ptCount val="6"/>
                <c:pt idx="0">
                  <c:v>Home Essentials</c:v>
                </c:pt>
                <c:pt idx="1">
                  <c:v>Electronics Plus</c:v>
                </c:pt>
                <c:pt idx="2">
                  <c:v>Outdoor Gear</c:v>
                </c:pt>
                <c:pt idx="3">
                  <c:v>Kitchen Pro</c:v>
                </c:pt>
                <c:pt idx="4">
                  <c:v>Smart Living</c:v>
                </c:pt>
                <c:pt idx="5">
                  <c:v>0</c:v>
                </c:pt>
              </c:strCache>
            </c:strRef>
          </c:cat>
          <c:val>
            <c:numRef>
              <c:f>SheetDashPerformace!$T$6:$T$10</c:f>
              <c:numCache>
                <c:formatCode>0</c:formatCode>
                <c:ptCount val="5"/>
                <c:pt idx="0">
                  <c:v>113282.36</c:v>
                </c:pt>
                <c:pt idx="1">
                  <c:v>229529.05</c:v>
                </c:pt>
                <c:pt idx="2">
                  <c:v>259680.98</c:v>
                </c:pt>
                <c:pt idx="3">
                  <c:v>302990.07</c:v>
                </c:pt>
                <c:pt idx="4">
                  <c:v>491958.38</c:v>
                </c:pt>
              </c:numCache>
            </c:numRef>
          </c:val>
          <c:extLst>
            <c:ext xmlns:c16="http://schemas.microsoft.com/office/drawing/2014/chart" uri="{C3380CC4-5D6E-409C-BE32-E72D297353CC}">
              <c16:uniqueId val="{00000000-E133-4115-BF41-2332EB22FD69}"/>
            </c:ext>
          </c:extLst>
        </c:ser>
        <c:dLbls>
          <c:showLegendKey val="0"/>
          <c:showVal val="0"/>
          <c:showCatName val="0"/>
          <c:showSerName val="0"/>
          <c:showPercent val="0"/>
          <c:showBubbleSize val="0"/>
        </c:dLbls>
        <c:gapWidth val="76"/>
        <c:overlap val="-27"/>
        <c:axId val="445053263"/>
        <c:axId val="445068143"/>
      </c:barChart>
      <c:lineChart>
        <c:grouping val="standard"/>
        <c:varyColors val="0"/>
        <c:ser>
          <c:idx val="1"/>
          <c:order val="1"/>
          <c:tx>
            <c:strRef>
              <c:f>SheetDashPerformace!$V$5</c:f>
              <c:strCache>
                <c:ptCount val="1"/>
                <c:pt idx="0">
                  <c:v>Cumulative %</c:v>
                </c:pt>
              </c:strCache>
            </c:strRef>
          </c:tx>
          <c:spPr>
            <a:ln w="28575" cap="rnd">
              <a:solidFill>
                <a:schemeClr val="accent2"/>
              </a:solidFill>
              <a:round/>
            </a:ln>
            <a:effectLst/>
          </c:spPr>
          <c:marker>
            <c:symbol val="none"/>
          </c:marker>
          <c:cat>
            <c:strRef>
              <c:f>SheetDashPerformace!$S$6:$S$35</c:f>
              <c:strCache>
                <c:ptCount val="6"/>
                <c:pt idx="0">
                  <c:v>Home Essentials</c:v>
                </c:pt>
                <c:pt idx="1">
                  <c:v>Electronics Plus</c:v>
                </c:pt>
                <c:pt idx="2">
                  <c:v>Outdoor Gear</c:v>
                </c:pt>
                <c:pt idx="3">
                  <c:v>Kitchen Pro</c:v>
                </c:pt>
                <c:pt idx="4">
                  <c:v>Smart Living</c:v>
                </c:pt>
                <c:pt idx="5">
                  <c:v>0</c:v>
                </c:pt>
              </c:strCache>
            </c:strRef>
          </c:cat>
          <c:val>
            <c:numRef>
              <c:f>SheetDashPerformace!$V$6:$V$11</c:f>
              <c:numCache>
                <c:formatCode>0%</c:formatCode>
                <c:ptCount val="6"/>
                <c:pt idx="0">
                  <c:v>8.1064154386671583E-2</c:v>
                </c:pt>
                <c:pt idx="1">
                  <c:v>0.24531371932710941</c:v>
                </c:pt>
                <c:pt idx="2">
                  <c:v>0.43113981841263499</c:v>
                </c:pt>
                <c:pt idx="3">
                  <c:v>0.64795763375571591</c:v>
                </c:pt>
                <c:pt idx="4">
                  <c:v>1</c:v>
                </c:pt>
                <c:pt idx="5">
                  <c:v>1</c:v>
                </c:pt>
              </c:numCache>
            </c:numRef>
          </c:val>
          <c:smooth val="0"/>
          <c:extLst>
            <c:ext xmlns:c16="http://schemas.microsoft.com/office/drawing/2014/chart" uri="{C3380CC4-5D6E-409C-BE32-E72D297353CC}">
              <c16:uniqueId val="{00000001-E133-4115-BF41-2332EB22FD69}"/>
            </c:ext>
          </c:extLst>
        </c:ser>
        <c:ser>
          <c:idx val="2"/>
          <c:order val="2"/>
          <c:tx>
            <c:strRef>
              <c:f>SheetDashPerformace!$X$5</c:f>
              <c:strCache>
                <c:ptCount val="1"/>
              </c:strCache>
            </c:strRef>
          </c:tx>
          <c:spPr>
            <a:ln w="19050" cap="rnd">
              <a:solidFill>
                <a:schemeClr val="tx1">
                  <a:lumMod val="50000"/>
                  <a:lumOff val="50000"/>
                </a:schemeClr>
              </a:solidFill>
              <a:prstDash val="sysDot"/>
              <a:round/>
            </a:ln>
            <a:effectLst/>
          </c:spPr>
          <c:marker>
            <c:symbol val="none"/>
          </c:marker>
          <c:val>
            <c:numRef>
              <c:f>SheetDashPerformace!$X$6:$X$11</c:f>
              <c:numCache>
                <c:formatCode>0%</c:formatCode>
                <c:ptCount val="6"/>
                <c:pt idx="0">
                  <c:v>0.8</c:v>
                </c:pt>
                <c:pt idx="1">
                  <c:v>0.8</c:v>
                </c:pt>
                <c:pt idx="2">
                  <c:v>0.8</c:v>
                </c:pt>
                <c:pt idx="3">
                  <c:v>0.8</c:v>
                </c:pt>
                <c:pt idx="4">
                  <c:v>0.8</c:v>
                </c:pt>
                <c:pt idx="5">
                  <c:v>0.8</c:v>
                </c:pt>
              </c:numCache>
            </c:numRef>
          </c:val>
          <c:smooth val="0"/>
          <c:extLst>
            <c:ext xmlns:c16="http://schemas.microsoft.com/office/drawing/2014/chart" uri="{C3380CC4-5D6E-409C-BE32-E72D297353CC}">
              <c16:uniqueId val="{00000002-E133-4115-BF41-2332EB22FD69}"/>
            </c:ext>
          </c:extLst>
        </c:ser>
        <c:dLbls>
          <c:showLegendKey val="0"/>
          <c:showVal val="0"/>
          <c:showCatName val="0"/>
          <c:showSerName val="0"/>
          <c:showPercent val="0"/>
          <c:showBubbleSize val="0"/>
        </c:dLbls>
        <c:marker val="1"/>
        <c:smooth val="0"/>
        <c:axId val="445064783"/>
        <c:axId val="445073423"/>
      </c:lineChart>
      <c:catAx>
        <c:axId val="445053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k-UA"/>
          </a:p>
        </c:txPr>
        <c:crossAx val="445068143"/>
        <c:crosses val="autoZero"/>
        <c:auto val="1"/>
        <c:lblAlgn val="ctr"/>
        <c:lblOffset val="100"/>
        <c:noMultiLvlLbl val="0"/>
      </c:catAx>
      <c:valAx>
        <c:axId val="44506814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k-UA"/>
          </a:p>
        </c:txPr>
        <c:crossAx val="445053263"/>
        <c:crosses val="autoZero"/>
        <c:crossBetween val="between"/>
      </c:valAx>
      <c:valAx>
        <c:axId val="44507342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k-UA"/>
          </a:p>
        </c:txPr>
        <c:crossAx val="445064783"/>
        <c:crosses val="max"/>
        <c:crossBetween val="between"/>
      </c:valAx>
      <c:catAx>
        <c:axId val="445064783"/>
        <c:scaling>
          <c:orientation val="minMax"/>
        </c:scaling>
        <c:delete val="1"/>
        <c:axPos val="b"/>
        <c:numFmt formatCode="General" sourceLinked="1"/>
        <c:majorTickMark val="out"/>
        <c:minorTickMark val="none"/>
        <c:tickLblPos val="nextTo"/>
        <c:crossAx val="4450734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uk-U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4">
          <a:satMod val="175000"/>
          <a:alpha val="40000"/>
        </a:schemeClr>
      </a:glow>
    </a:effectLst>
  </c:spPr>
  <c:txPr>
    <a:bodyPr/>
    <a:lstStyle/>
    <a:p>
      <a:pPr>
        <a:defRPr/>
      </a:pPr>
      <a:endParaRPr lang="uk-U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[Relatorio17.03.xlsm]SheetDashPerformace!PivotTable1</c:name>
    <c:fmtId val="2"/>
  </c:pivotSource>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mn-lt"/>
                <a:ea typeface="+mn-ea"/>
                <a:cs typeface="+mn-cs"/>
              </a:defRPr>
            </a:pPr>
            <a:r>
              <a:rPr lang="en-US" sz="1800" b="1" i="0" u="none" strike="noStrike" baseline="0"/>
              <a:t>Revenue by Product Quadrant</a:t>
            </a:r>
            <a:endParaRPr lang="en-US" sz="1800" b="1" i="0" u="none" strike="noStrike" kern="1200" spc="0" baseline="0">
              <a:solidFill>
                <a:sysClr val="windowText" lastClr="000000"/>
              </a:solidFill>
              <a:latin typeface="+mn-lt"/>
              <a:ea typeface="+mn-ea"/>
              <a:cs typeface="+mn-cs"/>
            </a:endParaRP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6">
                  <a:lumMod val="89000"/>
                </a:schemeClr>
              </a:gs>
              <a:gs pos="23000">
                <a:schemeClr val="accent6">
                  <a:lumMod val="89000"/>
                </a:schemeClr>
              </a:gs>
              <a:gs pos="69000">
                <a:schemeClr val="accent6">
                  <a:lumMod val="75000"/>
                </a:schemeClr>
              </a:gs>
              <a:gs pos="97000">
                <a:schemeClr val="accent6">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722563349306108E-2"/>
          <c:y val="0.21043956043956044"/>
          <c:w val="0.86450271697689163"/>
          <c:h val="0.69151932931460491"/>
        </c:manualLayout>
      </c:layout>
      <c:barChart>
        <c:barDir val="col"/>
        <c:grouping val="clustered"/>
        <c:varyColors val="0"/>
        <c:ser>
          <c:idx val="0"/>
          <c:order val="0"/>
          <c:tx>
            <c:strRef>
              <c:f>SheetDashPerformace!$AM$41</c:f>
              <c:strCache>
                <c:ptCount val="1"/>
                <c:pt idx="0">
                  <c:v>Total</c:v>
                </c:pt>
              </c:strCache>
            </c:strRef>
          </c:tx>
          <c:spPr>
            <a:gradFill flip="none" rotWithShape="1">
              <a:gsLst>
                <a:gs pos="0">
                  <a:schemeClr val="accent6">
                    <a:lumMod val="89000"/>
                  </a:schemeClr>
                </a:gs>
                <a:gs pos="23000">
                  <a:schemeClr val="accent6">
                    <a:lumMod val="89000"/>
                  </a:schemeClr>
                </a:gs>
                <a:gs pos="69000">
                  <a:schemeClr val="accent6">
                    <a:lumMod val="75000"/>
                  </a:schemeClr>
                </a:gs>
                <a:gs pos="97000">
                  <a:schemeClr val="accent6">
                    <a:lumMod val="70000"/>
                  </a:schemeClr>
                </a:gs>
              </a:gsLst>
              <a:path path="circle">
                <a:fillToRect l="50000" t="50000" r="50000" b="50000"/>
              </a:path>
              <a:tileRect/>
            </a:gradFill>
            <a:ln>
              <a:noFill/>
            </a:ln>
            <a:effectLst/>
          </c:spPr>
          <c:invertIfNegative val="0"/>
          <c:cat>
            <c:strRef>
              <c:f>SheetDashPerformace!$AL$42:$AL$46</c:f>
              <c:strCache>
                <c:ptCount val="4"/>
                <c:pt idx="0">
                  <c:v>Star</c:v>
                </c:pt>
                <c:pt idx="1">
                  <c:v>Volume</c:v>
                </c:pt>
                <c:pt idx="2">
                  <c:v>Problem</c:v>
                </c:pt>
                <c:pt idx="3">
                  <c:v>Niche</c:v>
                </c:pt>
              </c:strCache>
            </c:strRef>
          </c:cat>
          <c:val>
            <c:numRef>
              <c:f>SheetDashPerformace!$AM$42:$AM$46</c:f>
              <c:numCache>
                <c:formatCode>_-[$€-2]\ * #\ ##0.00_-;\-[$€-2]\ * #\ ##0.00_-;_-[$€-2]\ * "-"??_-;_-@_-</c:formatCode>
                <c:ptCount val="4"/>
                <c:pt idx="0">
                  <c:v>273560.15000000002</c:v>
                </c:pt>
                <c:pt idx="1">
                  <c:v>239467.21</c:v>
                </c:pt>
                <c:pt idx="2">
                  <c:v>95649.65</c:v>
                </c:pt>
                <c:pt idx="3">
                  <c:v>55578.270000000004</c:v>
                </c:pt>
              </c:numCache>
            </c:numRef>
          </c:val>
          <c:extLst>
            <c:ext xmlns:c16="http://schemas.microsoft.com/office/drawing/2014/chart" uri="{C3380CC4-5D6E-409C-BE32-E72D297353CC}">
              <c16:uniqueId val="{00000000-2986-4302-9F2C-9178BC84973B}"/>
            </c:ext>
          </c:extLst>
        </c:ser>
        <c:dLbls>
          <c:showLegendKey val="0"/>
          <c:showVal val="0"/>
          <c:showCatName val="0"/>
          <c:showSerName val="0"/>
          <c:showPercent val="0"/>
          <c:showBubbleSize val="0"/>
        </c:dLbls>
        <c:gapWidth val="67"/>
        <c:overlap val="-27"/>
        <c:axId val="1613897087"/>
        <c:axId val="1613915327"/>
      </c:barChart>
      <c:catAx>
        <c:axId val="161389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613915327"/>
        <c:crosses val="autoZero"/>
        <c:auto val="1"/>
        <c:lblAlgn val="ctr"/>
        <c:lblOffset val="100"/>
        <c:noMultiLvlLbl val="0"/>
      </c:catAx>
      <c:valAx>
        <c:axId val="1613915327"/>
        <c:scaling>
          <c:orientation val="minMax"/>
        </c:scaling>
        <c:delete val="0"/>
        <c:axPos val="l"/>
        <c:numFmt formatCode="_-[$€-2]\ * #\ ##0.00_-;\-[$€-2]\ * #\ ##0.00_-;_-[$€-2]\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89708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a:glow rad="63500">
            <a:schemeClr val="accent4">
              <a:satMod val="175000"/>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[Relatorio17.03.xlsm]SheetDashPerformace!Revenue vs Profit vs Margin</c:name>
    <c:fmtId val="6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solidFill>
                  <a:sysClr val="windowText" lastClr="000000"/>
                </a:solidFill>
              </a:rPr>
              <a:t>Revenue and Margin Trend</a:t>
            </a:r>
            <a:endParaRPr lang="en-US"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SheetDashPerformace!$AC$6</c:f>
              <c:strCache>
                <c:ptCount val="1"/>
                <c:pt idx="0">
                  <c:v>Revenue</c:v>
                </c:pt>
              </c:strCache>
            </c:strRef>
          </c:tx>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invertIfNegative val="0"/>
          <c:cat>
            <c:strRef>
              <c:f>SheetDashPerformace!$AB$7:$AB$19</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SheetDashPerformace!$AC$7:$AC$19</c:f>
              <c:numCache>
                <c:formatCode>_-[$€-2]\ * #\ ##0.00_-;\-[$€-2]\ * #\ ##0.00_-;_-[$€-2]\ * "-"??_-;_-@_-</c:formatCode>
                <c:ptCount val="12"/>
                <c:pt idx="0">
                  <c:v>69826.399999999994</c:v>
                </c:pt>
                <c:pt idx="1">
                  <c:v>102984.08</c:v>
                </c:pt>
                <c:pt idx="2">
                  <c:v>166071.88</c:v>
                </c:pt>
                <c:pt idx="3">
                  <c:v>88766.57</c:v>
                </c:pt>
                <c:pt idx="4">
                  <c:v>93534.98</c:v>
                </c:pt>
                <c:pt idx="5">
                  <c:v>93322.75</c:v>
                </c:pt>
                <c:pt idx="6">
                  <c:v>273487.98</c:v>
                </c:pt>
                <c:pt idx="7">
                  <c:v>70118.22</c:v>
                </c:pt>
                <c:pt idx="8">
                  <c:v>81329.05</c:v>
                </c:pt>
                <c:pt idx="9">
                  <c:v>65102.13</c:v>
                </c:pt>
                <c:pt idx="10">
                  <c:v>161246.60999999999</c:v>
                </c:pt>
                <c:pt idx="11">
                  <c:v>131650.19</c:v>
                </c:pt>
              </c:numCache>
            </c:numRef>
          </c:val>
          <c:extLst>
            <c:ext xmlns:c16="http://schemas.microsoft.com/office/drawing/2014/chart" uri="{C3380CC4-5D6E-409C-BE32-E72D297353CC}">
              <c16:uniqueId val="{00000000-8D29-4147-A625-812830DD695E}"/>
            </c:ext>
          </c:extLst>
        </c:ser>
        <c:dLbls>
          <c:showLegendKey val="0"/>
          <c:showVal val="0"/>
          <c:showCatName val="0"/>
          <c:showSerName val="0"/>
          <c:showPercent val="0"/>
          <c:showBubbleSize val="0"/>
        </c:dLbls>
        <c:gapWidth val="84"/>
        <c:overlap val="-27"/>
        <c:axId val="932979423"/>
        <c:axId val="932992383"/>
      </c:barChart>
      <c:lineChart>
        <c:grouping val="standard"/>
        <c:varyColors val="0"/>
        <c:ser>
          <c:idx val="1"/>
          <c:order val="1"/>
          <c:tx>
            <c:strRef>
              <c:f>SheetDashPerformace!$AD$6</c:f>
              <c:strCache>
                <c:ptCount val="1"/>
                <c:pt idx="0">
                  <c:v>Margin (%)</c:v>
                </c:pt>
              </c:strCache>
            </c:strRef>
          </c:tx>
          <c:spPr>
            <a:ln w="28575" cap="rnd">
              <a:solidFill>
                <a:srgbClr val="00B0F0"/>
              </a:solidFill>
              <a:round/>
            </a:ln>
            <a:effectLst/>
          </c:spPr>
          <c:marker>
            <c:symbol val="none"/>
          </c:marker>
          <c:cat>
            <c:strRef>
              <c:f>SheetDashPerformace!$AB$7:$AB$19</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SheetDashPerformace!$AD$7:$AD$19</c:f>
              <c:numCache>
                <c:formatCode>0%</c:formatCode>
                <c:ptCount val="12"/>
                <c:pt idx="0">
                  <c:v>0.32708159091690253</c:v>
                </c:pt>
                <c:pt idx="1">
                  <c:v>0.3234641703843934</c:v>
                </c:pt>
                <c:pt idx="2">
                  <c:v>0.30421345263267929</c:v>
                </c:pt>
                <c:pt idx="3">
                  <c:v>0.36183373988653611</c:v>
                </c:pt>
                <c:pt idx="4">
                  <c:v>0.34073370197972996</c:v>
                </c:pt>
                <c:pt idx="5">
                  <c:v>0.30210843551009803</c:v>
                </c:pt>
                <c:pt idx="6">
                  <c:v>0.317860404687621</c:v>
                </c:pt>
                <c:pt idx="7">
                  <c:v>0.30847888038230292</c:v>
                </c:pt>
                <c:pt idx="8">
                  <c:v>0.29109364980901659</c:v>
                </c:pt>
                <c:pt idx="9">
                  <c:v>0.3293637243512616</c:v>
                </c:pt>
                <c:pt idx="10">
                  <c:v>0.29916070793674365</c:v>
                </c:pt>
                <c:pt idx="11">
                  <c:v>0.29699569746158361</c:v>
                </c:pt>
              </c:numCache>
            </c:numRef>
          </c:val>
          <c:smooth val="0"/>
          <c:extLst>
            <c:ext xmlns:c16="http://schemas.microsoft.com/office/drawing/2014/chart" uri="{C3380CC4-5D6E-409C-BE32-E72D297353CC}">
              <c16:uniqueId val="{00000001-8D29-4147-A625-812830DD695E}"/>
            </c:ext>
          </c:extLst>
        </c:ser>
        <c:dLbls>
          <c:showLegendKey val="0"/>
          <c:showVal val="0"/>
          <c:showCatName val="0"/>
          <c:showSerName val="0"/>
          <c:showPercent val="0"/>
          <c:showBubbleSize val="0"/>
        </c:dLbls>
        <c:marker val="1"/>
        <c:smooth val="0"/>
        <c:axId val="932983743"/>
        <c:axId val="932980383"/>
      </c:lineChart>
      <c:catAx>
        <c:axId val="932979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992383"/>
        <c:crosses val="autoZero"/>
        <c:auto val="1"/>
        <c:lblAlgn val="ctr"/>
        <c:lblOffset val="100"/>
        <c:noMultiLvlLbl val="0"/>
      </c:catAx>
      <c:valAx>
        <c:axId val="932992383"/>
        <c:scaling>
          <c:orientation val="minMax"/>
        </c:scaling>
        <c:delete val="0"/>
        <c:axPos val="l"/>
        <c:numFmt formatCode="_-[$€-2]\ * #\ ##0.00_-;\-[$€-2]\ * #\ ##0.00_-;_-[$€-2]\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979423"/>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9329803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983743"/>
        <c:crosses val="max"/>
        <c:crossBetween val="between"/>
      </c:valAx>
      <c:catAx>
        <c:axId val="932983743"/>
        <c:scaling>
          <c:orientation val="minMax"/>
        </c:scaling>
        <c:delete val="1"/>
        <c:axPos val="b"/>
        <c:numFmt formatCode="General" sourceLinked="1"/>
        <c:majorTickMark val="out"/>
        <c:minorTickMark val="none"/>
        <c:tickLblPos val="nextTo"/>
        <c:crossAx val="932980383"/>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baseline="0">
                <a:solidFill>
                  <a:sysClr val="windowText" lastClr="000000">
                    <a:lumMod val="65000"/>
                    <a:lumOff val="35000"/>
                  </a:sysClr>
                </a:solidFill>
              </a:rPr>
              <a:t>Revenue Concentration (ABC Analysis)</a:t>
            </a:r>
            <a:endParaRPr lang="uk-UA" sz="1400" b="1" i="0" u="none" strike="noStrike" kern="1200" baseline="0">
              <a:solidFill>
                <a:sysClr val="windowText" lastClr="000000">
                  <a:lumMod val="65000"/>
                  <a:lumOff val="35000"/>
                </a:sysClr>
              </a:solidFill>
            </a:endParaRPr>
          </a:p>
          <a:p>
            <a:pPr>
              <a:defRPr/>
            </a:pPr>
            <a:r>
              <a:rPr lang="en-US" sz="1400" b="1" i="0" u="none" strike="noStrike" kern="1200" baseline="0">
                <a:solidFill>
                  <a:sysClr val="windowText" lastClr="000000">
                    <a:lumMod val="65000"/>
                    <a:lumOff val="35000"/>
                  </a:sysClr>
                </a:solidFill>
              </a:rPr>
              <a:t>Top categories generate 80% of total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uk-UA"/>
        </a:p>
      </c:txPr>
    </c:title>
    <c:autoTitleDeleted val="0"/>
    <c:plotArea>
      <c:layout/>
      <c:barChart>
        <c:barDir val="col"/>
        <c:grouping val="clustered"/>
        <c:varyColors val="0"/>
        <c:ser>
          <c:idx val="0"/>
          <c:order val="0"/>
          <c:tx>
            <c:strRef>
              <c:f>SheetDashPerformace!$T$5</c:f>
              <c:strCache>
                <c:ptCount val="1"/>
                <c:pt idx="0">
                  <c:v>Total Revenue</c:v>
                </c:pt>
              </c:strCache>
            </c:strRef>
          </c:tx>
          <c:spPr>
            <a:solidFill>
              <a:schemeClr val="accent1"/>
            </a:solidFill>
            <a:ln>
              <a:noFill/>
            </a:ln>
            <a:effectLst/>
          </c:spPr>
          <c:invertIfNegative val="0"/>
          <c:cat>
            <c:strRef>
              <c:f>SheetDashPerformace!$S$6:$S$35</c:f>
              <c:strCache>
                <c:ptCount val="6"/>
                <c:pt idx="0">
                  <c:v>Home Essentials</c:v>
                </c:pt>
                <c:pt idx="1">
                  <c:v>Electronics Plus</c:v>
                </c:pt>
                <c:pt idx="2">
                  <c:v>Outdoor Gear</c:v>
                </c:pt>
                <c:pt idx="3">
                  <c:v>Kitchen Pro</c:v>
                </c:pt>
                <c:pt idx="4">
                  <c:v>Smart Living</c:v>
                </c:pt>
                <c:pt idx="5">
                  <c:v>0</c:v>
                </c:pt>
              </c:strCache>
            </c:strRef>
          </c:cat>
          <c:val>
            <c:numRef>
              <c:f>SheetDashPerformace!$T$6:$T$10</c:f>
              <c:numCache>
                <c:formatCode>0</c:formatCode>
                <c:ptCount val="5"/>
                <c:pt idx="0">
                  <c:v>113282.36</c:v>
                </c:pt>
                <c:pt idx="1">
                  <c:v>229529.05</c:v>
                </c:pt>
                <c:pt idx="2">
                  <c:v>259680.98</c:v>
                </c:pt>
                <c:pt idx="3">
                  <c:v>302990.07</c:v>
                </c:pt>
                <c:pt idx="4">
                  <c:v>491958.38</c:v>
                </c:pt>
              </c:numCache>
            </c:numRef>
          </c:val>
          <c:extLst>
            <c:ext xmlns:c16="http://schemas.microsoft.com/office/drawing/2014/chart" uri="{C3380CC4-5D6E-409C-BE32-E72D297353CC}">
              <c16:uniqueId val="{00000000-BF6E-4141-89B9-79488117F072}"/>
            </c:ext>
          </c:extLst>
        </c:ser>
        <c:dLbls>
          <c:showLegendKey val="0"/>
          <c:showVal val="0"/>
          <c:showCatName val="0"/>
          <c:showSerName val="0"/>
          <c:showPercent val="0"/>
          <c:showBubbleSize val="0"/>
        </c:dLbls>
        <c:gapWidth val="76"/>
        <c:overlap val="-27"/>
        <c:axId val="445053263"/>
        <c:axId val="445068143"/>
      </c:barChart>
      <c:lineChart>
        <c:grouping val="standard"/>
        <c:varyColors val="0"/>
        <c:ser>
          <c:idx val="1"/>
          <c:order val="1"/>
          <c:tx>
            <c:strRef>
              <c:f>SheetDashPerformace!$V$5</c:f>
              <c:strCache>
                <c:ptCount val="1"/>
                <c:pt idx="0">
                  <c:v>Cumulative %</c:v>
                </c:pt>
              </c:strCache>
            </c:strRef>
          </c:tx>
          <c:spPr>
            <a:ln w="28575" cap="rnd">
              <a:solidFill>
                <a:schemeClr val="accent2"/>
              </a:solidFill>
              <a:round/>
            </a:ln>
            <a:effectLst/>
          </c:spPr>
          <c:marker>
            <c:symbol val="none"/>
          </c:marker>
          <c:cat>
            <c:strRef>
              <c:f>SheetDashPerformace!$S$6:$S$35</c:f>
              <c:strCache>
                <c:ptCount val="6"/>
                <c:pt idx="0">
                  <c:v>Home Essentials</c:v>
                </c:pt>
                <c:pt idx="1">
                  <c:v>Electronics Plus</c:v>
                </c:pt>
                <c:pt idx="2">
                  <c:v>Outdoor Gear</c:v>
                </c:pt>
                <c:pt idx="3">
                  <c:v>Kitchen Pro</c:v>
                </c:pt>
                <c:pt idx="4">
                  <c:v>Smart Living</c:v>
                </c:pt>
                <c:pt idx="5">
                  <c:v>0</c:v>
                </c:pt>
              </c:strCache>
            </c:strRef>
          </c:cat>
          <c:val>
            <c:numRef>
              <c:f>SheetDashPerformace!$V$6:$V$11</c:f>
              <c:numCache>
                <c:formatCode>0%</c:formatCode>
                <c:ptCount val="6"/>
                <c:pt idx="0">
                  <c:v>8.1064154386671583E-2</c:v>
                </c:pt>
                <c:pt idx="1">
                  <c:v>0.24531371932710941</c:v>
                </c:pt>
                <c:pt idx="2">
                  <c:v>0.43113981841263499</c:v>
                </c:pt>
                <c:pt idx="3">
                  <c:v>0.64795763375571591</c:v>
                </c:pt>
                <c:pt idx="4">
                  <c:v>1</c:v>
                </c:pt>
                <c:pt idx="5">
                  <c:v>1</c:v>
                </c:pt>
              </c:numCache>
            </c:numRef>
          </c:val>
          <c:smooth val="0"/>
          <c:extLst>
            <c:ext xmlns:c16="http://schemas.microsoft.com/office/drawing/2014/chart" uri="{C3380CC4-5D6E-409C-BE32-E72D297353CC}">
              <c16:uniqueId val="{00000001-BF6E-4141-89B9-79488117F072}"/>
            </c:ext>
          </c:extLst>
        </c:ser>
        <c:ser>
          <c:idx val="2"/>
          <c:order val="2"/>
          <c:tx>
            <c:strRef>
              <c:f>SheetDashPerformace!$X$5</c:f>
              <c:strCache>
                <c:ptCount val="1"/>
              </c:strCache>
            </c:strRef>
          </c:tx>
          <c:spPr>
            <a:ln w="19050" cap="rnd">
              <a:solidFill>
                <a:schemeClr val="tx1">
                  <a:lumMod val="50000"/>
                  <a:lumOff val="50000"/>
                </a:schemeClr>
              </a:solidFill>
              <a:prstDash val="sysDot"/>
              <a:round/>
            </a:ln>
            <a:effectLst/>
          </c:spPr>
          <c:marker>
            <c:symbol val="none"/>
          </c:marker>
          <c:val>
            <c:numRef>
              <c:f>SheetDashPerformace!$X$6:$X$11</c:f>
              <c:numCache>
                <c:formatCode>0%</c:formatCode>
                <c:ptCount val="6"/>
                <c:pt idx="0">
                  <c:v>0.8</c:v>
                </c:pt>
                <c:pt idx="1">
                  <c:v>0.8</c:v>
                </c:pt>
                <c:pt idx="2">
                  <c:v>0.8</c:v>
                </c:pt>
                <c:pt idx="3">
                  <c:v>0.8</c:v>
                </c:pt>
                <c:pt idx="4">
                  <c:v>0.8</c:v>
                </c:pt>
                <c:pt idx="5">
                  <c:v>0.8</c:v>
                </c:pt>
              </c:numCache>
            </c:numRef>
          </c:val>
          <c:smooth val="0"/>
          <c:extLst>
            <c:ext xmlns:c16="http://schemas.microsoft.com/office/drawing/2014/chart" uri="{C3380CC4-5D6E-409C-BE32-E72D297353CC}">
              <c16:uniqueId val="{00000003-BF6E-4141-89B9-79488117F072}"/>
            </c:ext>
          </c:extLst>
        </c:ser>
        <c:dLbls>
          <c:showLegendKey val="0"/>
          <c:showVal val="0"/>
          <c:showCatName val="0"/>
          <c:showSerName val="0"/>
          <c:showPercent val="0"/>
          <c:showBubbleSize val="0"/>
        </c:dLbls>
        <c:marker val="1"/>
        <c:smooth val="0"/>
        <c:axId val="445064783"/>
        <c:axId val="445073423"/>
      </c:lineChart>
      <c:catAx>
        <c:axId val="445053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k-UA"/>
          </a:p>
        </c:txPr>
        <c:crossAx val="445068143"/>
        <c:crosses val="autoZero"/>
        <c:auto val="1"/>
        <c:lblAlgn val="ctr"/>
        <c:lblOffset val="100"/>
        <c:noMultiLvlLbl val="0"/>
      </c:catAx>
      <c:valAx>
        <c:axId val="44506814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k-UA"/>
          </a:p>
        </c:txPr>
        <c:crossAx val="445053263"/>
        <c:crosses val="autoZero"/>
        <c:crossBetween val="between"/>
      </c:valAx>
      <c:valAx>
        <c:axId val="44507342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k-UA"/>
          </a:p>
        </c:txPr>
        <c:crossAx val="445064783"/>
        <c:crosses val="max"/>
        <c:crossBetween val="between"/>
      </c:valAx>
      <c:catAx>
        <c:axId val="445064783"/>
        <c:scaling>
          <c:orientation val="minMax"/>
        </c:scaling>
        <c:delete val="1"/>
        <c:axPos val="b"/>
        <c:numFmt formatCode="General" sourceLinked="1"/>
        <c:majorTickMark val="out"/>
        <c:minorTickMark val="none"/>
        <c:tickLblPos val="nextTo"/>
        <c:crossAx val="4450734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uk-U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uk-UA"/>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800">
                <a:solidFill>
                  <a:sysClr val="windowText" lastClr="000000"/>
                </a:solidFill>
              </a:rPr>
              <a:t>Revenue Distribution by Category</a:t>
            </a:r>
            <a:endParaRPr lang="en-US" sz="1800" b="1" i="0" u="none" strike="noStrike" baseline="0">
              <a:solidFill>
                <a:sysClr val="windowText" lastClr="000000"/>
              </a:solidFill>
              <a:latin typeface="Aptos Narrow" panose="02110004020202020204"/>
            </a:endParaRPr>
          </a:p>
        </cx:rich>
      </cx:tx>
    </cx:title>
    <cx:plotArea>
      <cx:plotAreaRegion>
        <cx:series layoutId="treemap" uniqueId="{283C4EDB-2B2E-4FB4-825E-998E0B54E29D}">
          <cx:tx>
            <cx:txData>
              <cx:f>_xlchart.v1.4</cx:f>
              <cx:v>Total Valor</cx:v>
            </cx:txData>
          </cx:tx>
          <cx:spPr>
            <a:effectLst/>
          </cx:spPr>
          <cx:dataLabels pos="inEnd">
            <cx:txPr>
              <a:bodyPr spcFirstLastPara="1" vertOverflow="ellipsis" horzOverflow="overflow" wrap="square" lIns="0" tIns="0" rIns="0" bIns="0" anchor="ctr" anchorCtr="1"/>
              <a:lstStyle/>
              <a:p>
                <a:pPr algn="ctr" rtl="0">
                  <a:defRPr sz="1600" b="1"/>
                </a:pPr>
                <a:endParaRPr lang="en-US" sz="1600" b="1" i="0" u="none" strike="noStrike" baseline="0">
                  <a:solidFill>
                    <a:sysClr val="window" lastClr="FFFFFF"/>
                  </a:solidFill>
                  <a:latin typeface="Aptos Narrow" panose="02110004020202020204"/>
                </a:endParaRPr>
              </a:p>
            </cx:txPr>
            <cx:visibility seriesName="0" categoryName="1" value="0"/>
          </cx:dataLabels>
          <cx:dataId val="0"/>
          <cx:layoutPr>
            <cx:parentLabelLayout val="overlapping"/>
          </cx:layoutPr>
        </cx:series>
      </cx:plotAreaRegion>
    </cx:plotArea>
  </cx:chart>
  <cx:spPr>
    <a:solidFill>
      <a:schemeClr val="lt1"/>
    </a:solidFill>
    <a:ln>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5400000" scaled="1"/>
        <a:tileRect/>
      </a:gradFill>
    </a:ln>
    <a:effectLst>
      <a:glow rad="63500">
        <a:schemeClr val="accent4">
          <a:satMod val="175000"/>
          <a:alpha val="40000"/>
        </a:schemeClr>
      </a:glow>
    </a:effectLst>
  </cx:spPr>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7">
  <cs:axisTitle>
    <cs:lnRef idx="0"/>
    <cs:fillRef idx="0"/>
    <cs:effectRef idx="0"/>
    <cs:fontRef idx="minor">
      <a:schemeClr val="dk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dk1">
        <a:lumMod val="65000"/>
        <a:lumOff val="35000"/>
      </a:schemeClr>
    </cs:fontRef>
    <cs:defRPr sz="9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cs:chartArea>
  <cs:dataLabel>
    <cs:lnRef idx="0"/>
    <cs:fillRef idx="0"/>
    <cs:effectRef idx="0"/>
    <cs:fontRef idx="minor">
      <a:schemeClr val="lt1"/>
    </cs:fontRef>
    <cs:defRPr sz="900" b="1"/>
    <cs:bodyPr lIns="38100" tIns="19050" rIns="38100" bIns="19050">
      <a:spAutoFit/>
    </cs:bodyPr>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w="9525">
        <a:solidFill>
          <a:schemeClr val="lt1"/>
        </a:solidFill>
      </a:ln>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lumOff val="10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65000"/>
        <a:lumOff val="35000"/>
      </a:schemeClr>
    </cs:fontRef>
    <cs:defRPr sz="1800" b="1"/>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Objetivo!A1"/><Relationship Id="rId7" Type="http://schemas.openxmlformats.org/officeDocument/2006/relationships/chart" Target="../charts/chart2.xml"/><Relationship Id="rId2" Type="http://schemas.openxmlformats.org/officeDocument/2006/relationships/hyperlink" Target="https://joinco.pt/" TargetMode="External"/><Relationship Id="rId1" Type="http://schemas.microsoft.com/office/2014/relationships/chartEx" Target="../charts/chartEx1.xml"/><Relationship Id="rId6" Type="http://schemas.openxmlformats.org/officeDocument/2006/relationships/chart" Target="../charts/chart1.xml"/><Relationship Id="rId5" Type="http://schemas.openxmlformats.org/officeDocument/2006/relationships/image" Target="../media/image3.svg"/><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114300</xdr:rowOff>
    </xdr:from>
    <xdr:to>
      <xdr:col>41</xdr:col>
      <xdr:colOff>584200</xdr:colOff>
      <xdr:row>72</xdr:row>
      <xdr:rowOff>38100</xdr:rowOff>
    </xdr:to>
    <xdr:grpSp>
      <xdr:nvGrpSpPr>
        <xdr:cNvPr id="50" name="Group 23">
          <a:extLst>
            <a:ext uri="{FF2B5EF4-FFF2-40B4-BE49-F238E27FC236}">
              <a16:creationId xmlns:a16="http://schemas.microsoft.com/office/drawing/2014/main" id="{8D9A65E3-6919-C30B-F717-FDB0255B05F4}"/>
            </a:ext>
          </a:extLst>
        </xdr:cNvPr>
        <xdr:cNvGrpSpPr/>
      </xdr:nvGrpSpPr>
      <xdr:grpSpPr>
        <a:xfrm>
          <a:off x="0" y="114300"/>
          <a:ext cx="25400000" cy="13030200"/>
          <a:chOff x="-52646" y="813263"/>
          <a:chExt cx="22853139" cy="13191509"/>
        </a:xfrm>
      </xdr:grpSpPr>
      <xdr:sp macro="" textlink="">
        <xdr:nvSpPr>
          <xdr:cNvPr id="53" name="Rectangle 10">
            <a:extLst>
              <a:ext uri="{FF2B5EF4-FFF2-40B4-BE49-F238E27FC236}">
                <a16:creationId xmlns:a16="http://schemas.microsoft.com/office/drawing/2014/main" id="{E948C5CB-1546-4DC1-9EDA-4604EF993160}"/>
              </a:ext>
              <a:ext uri="{147F2762-F138-4A5C-976F-8EAC2B608ADB}">
                <a16:predDERef xmlns:a16="http://schemas.microsoft.com/office/drawing/2014/main" pred="{8C94B666-5C67-4C70-B053-A9D08A5D82AC}"/>
              </a:ext>
            </a:extLst>
          </xdr:cNvPr>
          <xdr:cNvSpPr/>
        </xdr:nvSpPr>
        <xdr:spPr>
          <a:xfrm>
            <a:off x="-52646" y="813263"/>
            <a:ext cx="22853139" cy="13191509"/>
          </a:xfrm>
          <a:prstGeom prst="rect">
            <a:avLst/>
          </a:prstGeom>
          <a:solidFill>
            <a:schemeClr val="tx2">
              <a:lumMod val="10000"/>
              <a:lumOff val="90000"/>
              <a:alpha val="92157"/>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uk-UA" sz="1100"/>
          </a:p>
        </xdr:txBody>
      </xdr:sp>
      <xdr:sp macro="" textlink="">
        <xdr:nvSpPr>
          <xdr:cNvPr id="51" name="Rectangle 9">
            <a:extLst>
              <a:ext uri="{FF2B5EF4-FFF2-40B4-BE49-F238E27FC236}">
                <a16:creationId xmlns:a16="http://schemas.microsoft.com/office/drawing/2014/main" id="{C4B66CC9-FE9A-4C04-93DE-E8CABFB726C5}"/>
              </a:ext>
            </a:extLst>
          </xdr:cNvPr>
          <xdr:cNvSpPr/>
        </xdr:nvSpPr>
        <xdr:spPr>
          <a:xfrm rot="16200000">
            <a:off x="-3382257" y="5790415"/>
            <a:ext cx="8921683" cy="226246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indent="0" algn="ctr"/>
            <a:endParaRPr lang="en-US" sz="3200" b="0" i="0" u="none" strike="noStrike">
              <a:solidFill>
                <a:srgbClr val="000000"/>
              </a:solidFill>
              <a:latin typeface="Aptos Narrow"/>
              <a:ea typeface="+mn-ea"/>
              <a:cs typeface="+mn-cs"/>
            </a:endParaRPr>
          </a:p>
          <a:p>
            <a:pPr marL="0" indent="0" algn="ctr"/>
            <a:endParaRPr lang="en-US" sz="3200" b="0" i="0" u="none" strike="noStrike">
              <a:solidFill>
                <a:srgbClr val="000000"/>
              </a:solidFill>
              <a:latin typeface="Aptos Narrow"/>
              <a:ea typeface="+mn-ea"/>
              <a:cs typeface="+mn-cs"/>
            </a:endParaRPr>
          </a:p>
        </xdr:txBody>
      </xdr:sp>
      <xdr:sp macro="" textlink="">
        <xdr:nvSpPr>
          <xdr:cNvPr id="52" name="Rectangle 6">
            <a:extLst>
              <a:ext uri="{FF2B5EF4-FFF2-40B4-BE49-F238E27FC236}">
                <a16:creationId xmlns:a16="http://schemas.microsoft.com/office/drawing/2014/main" id="{835F8263-E0EA-4927-995F-902003D0149A}"/>
              </a:ext>
            </a:extLst>
          </xdr:cNvPr>
          <xdr:cNvSpPr/>
        </xdr:nvSpPr>
        <xdr:spPr>
          <a:xfrm>
            <a:off x="-52646" y="813263"/>
            <a:ext cx="20114028" cy="1711902"/>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indent="0" algn="ctr"/>
            <a:endParaRPr lang="en-US" sz="3200" b="0" i="0" u="none" strike="noStrike">
              <a:solidFill>
                <a:srgbClr val="000000"/>
              </a:solidFill>
              <a:latin typeface="Aptos Narrow"/>
              <a:ea typeface="+mn-ea"/>
              <a:cs typeface="+mn-cs"/>
            </a:endParaRPr>
          </a:p>
          <a:p>
            <a:pPr marL="0" indent="0" algn="ctr"/>
            <a:endParaRPr lang="en-US" sz="3200" b="0" i="0" u="none" strike="noStrike">
              <a:solidFill>
                <a:srgbClr val="000000"/>
              </a:solidFill>
              <a:latin typeface="Aptos Narrow"/>
              <a:ea typeface="+mn-ea"/>
              <a:cs typeface="+mn-cs"/>
            </a:endParaRPr>
          </a:p>
        </xdr:txBody>
      </xdr:sp>
    </xdr:grpSp>
    <xdr:clientData/>
  </xdr:twoCellAnchor>
  <xdr:twoCellAnchor editAs="oneCell">
    <xdr:from>
      <xdr:col>0</xdr:col>
      <xdr:colOff>235129</xdr:colOff>
      <xdr:row>18</xdr:row>
      <xdr:rowOff>40179</xdr:rowOff>
    </xdr:from>
    <xdr:to>
      <xdr:col>3</xdr:col>
      <xdr:colOff>258223</xdr:colOff>
      <xdr:row>29</xdr:row>
      <xdr:rowOff>152400</xdr:rowOff>
    </xdr:to>
    <mc:AlternateContent xmlns:mc="http://schemas.openxmlformats.org/markup-compatibility/2006">
      <mc:Choice xmlns:a14="http://schemas.microsoft.com/office/drawing/2010/main" Requires="a14">
        <xdr:graphicFrame macro="">
          <xdr:nvGraphicFramePr>
            <xdr:cNvPr id="54" name="Categoria 1">
              <a:extLst>
                <a:ext uri="{FF2B5EF4-FFF2-40B4-BE49-F238E27FC236}">
                  <a16:creationId xmlns:a16="http://schemas.microsoft.com/office/drawing/2014/main" id="{93D0D2DB-0F83-476E-868D-BF2444A9225E}"/>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dr:sp macro="" textlink="">
          <xdr:nvSpPr>
            <xdr:cNvPr id="0" name=""/>
            <xdr:cNvSpPr>
              <a:spLocks noTextEdit="1"/>
            </xdr:cNvSpPr>
          </xdr:nvSpPr>
          <xdr:spPr>
            <a:xfrm>
              <a:off x="235129" y="3545379"/>
              <a:ext cx="1851894" cy="20680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73660</xdr:colOff>
      <xdr:row>33</xdr:row>
      <xdr:rowOff>29324</xdr:rowOff>
    </xdr:from>
    <xdr:to>
      <xdr:col>30</xdr:col>
      <xdr:colOff>15240</xdr:colOff>
      <xdr:row>56</xdr:row>
      <xdr:rowOff>88900</xdr:rowOff>
    </xdr:to>
    <mc:AlternateContent xmlns:mc="http://schemas.openxmlformats.org/markup-compatibility/2006">
      <mc:Choice xmlns:cx1="http://schemas.microsoft.com/office/drawing/2015/9/8/chartex" Requires="cx1">
        <xdr:graphicFrame macro="">
          <xdr:nvGraphicFramePr>
            <xdr:cNvPr id="2" name="Chart 26">
              <a:extLst>
                <a:ext uri="{FF2B5EF4-FFF2-40B4-BE49-F238E27FC236}">
                  <a16:creationId xmlns:a16="http://schemas.microsoft.com/office/drawing/2014/main" id="{386C608D-22DC-4EA0-816E-9C3B043F0158}"/>
                </a:ext>
                <a:ext uri="{147F2762-F138-4A5C-976F-8EAC2B608ADB}">
                  <a16:predDERef xmlns:a16="http://schemas.microsoft.com/office/drawing/2014/main" pred="{74BF0F82-817E-494B-81DF-032DAE70B32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656060" y="6201524"/>
              <a:ext cx="6469380" cy="414897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335280</xdr:colOff>
      <xdr:row>1</xdr:row>
      <xdr:rowOff>0</xdr:rowOff>
    </xdr:from>
    <xdr:to>
      <xdr:col>25</xdr:col>
      <xdr:colOff>0</xdr:colOff>
      <xdr:row>3</xdr:row>
      <xdr:rowOff>121920</xdr:rowOff>
    </xdr:to>
    <xdr:sp macro="" textlink="">
      <xdr:nvSpPr>
        <xdr:cNvPr id="12" name="Rectangle 1">
          <a:extLst>
            <a:ext uri="{FF2B5EF4-FFF2-40B4-BE49-F238E27FC236}">
              <a16:creationId xmlns:a16="http://schemas.microsoft.com/office/drawing/2014/main" id="{70668E3D-6FD8-8B52-B166-78F0AEBC3518}"/>
            </a:ext>
          </a:extLst>
        </xdr:cNvPr>
        <xdr:cNvSpPr/>
      </xdr:nvSpPr>
      <xdr:spPr>
        <a:xfrm>
          <a:off x="5821680" y="190500"/>
          <a:ext cx="9418320" cy="5029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t>Commercial Performance Overview (2024–2025)</a:t>
          </a:r>
        </a:p>
      </xdr:txBody>
    </xdr:sp>
    <xdr:clientData/>
  </xdr:twoCellAnchor>
  <xdr:twoCellAnchor editAs="oneCell">
    <xdr:from>
      <xdr:col>0</xdr:col>
      <xdr:colOff>253538</xdr:colOff>
      <xdr:row>31</xdr:row>
      <xdr:rowOff>15238</xdr:rowOff>
    </xdr:from>
    <xdr:to>
      <xdr:col>3</xdr:col>
      <xdr:colOff>241597</xdr:colOff>
      <xdr:row>55</xdr:row>
      <xdr:rowOff>167640</xdr:rowOff>
    </xdr:to>
    <mc:AlternateContent xmlns:mc="http://schemas.openxmlformats.org/markup-compatibility/2006">
      <mc:Choice xmlns:a14="http://schemas.microsoft.com/office/drawing/2010/main" Requires="a14">
        <xdr:graphicFrame macro="">
          <xdr:nvGraphicFramePr>
            <xdr:cNvPr id="3" name="Gama Permanente 2">
              <a:extLst>
                <a:ext uri="{FF2B5EF4-FFF2-40B4-BE49-F238E27FC236}">
                  <a16:creationId xmlns:a16="http://schemas.microsoft.com/office/drawing/2014/main" id="{0F9E3495-2A3D-43A1-8BA6-0F67CBD60D12}"/>
                </a:ext>
              </a:extLst>
            </xdr:cNvPr>
            <xdr:cNvGraphicFramePr/>
          </xdr:nvGraphicFramePr>
          <xdr:xfrm>
            <a:off x="0" y="0"/>
            <a:ext cx="0" cy="0"/>
          </xdr:xfrm>
          <a:graphic>
            <a:graphicData uri="http://schemas.microsoft.com/office/drawing/2010/slicer">
              <sle:slicer xmlns:sle="http://schemas.microsoft.com/office/drawing/2010/slicer" name="Gama Permanente 2"/>
            </a:graphicData>
          </a:graphic>
        </xdr:graphicFrame>
      </mc:Choice>
      <mc:Fallback>
        <xdr:sp macro="" textlink="">
          <xdr:nvSpPr>
            <xdr:cNvPr id="0" name=""/>
            <xdr:cNvSpPr>
              <a:spLocks noTextEdit="1"/>
            </xdr:cNvSpPr>
          </xdr:nvSpPr>
          <xdr:spPr>
            <a:xfrm>
              <a:off x="253538" y="5831838"/>
              <a:ext cx="1816859" cy="44196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495300</xdr:colOff>
      <xdr:row>45</xdr:row>
      <xdr:rowOff>0</xdr:rowOff>
    </xdr:from>
    <xdr:to>
      <xdr:col>38</xdr:col>
      <xdr:colOff>175260</xdr:colOff>
      <xdr:row>46</xdr:row>
      <xdr:rowOff>114300</xdr:rowOff>
    </xdr:to>
    <xdr:sp macro="" textlink="">
      <xdr:nvSpPr>
        <xdr:cNvPr id="3073" name="AutoShape 1">
          <a:hlinkClick xmlns:r="http://schemas.openxmlformats.org/officeDocument/2006/relationships" r:id="rId2"/>
          <a:extLst>
            <a:ext uri="{FF2B5EF4-FFF2-40B4-BE49-F238E27FC236}">
              <a16:creationId xmlns:a16="http://schemas.microsoft.com/office/drawing/2014/main" id="{4AA10D19-A156-0ECD-0135-D61FF339E211}"/>
            </a:ext>
          </a:extLst>
        </xdr:cNvPr>
        <xdr:cNvSpPr>
          <a:spLocks noChangeAspect="1" noChangeArrowheads="1"/>
        </xdr:cNvSpPr>
      </xdr:nvSpPr>
      <xdr:spPr bwMode="auto">
        <a:xfrm>
          <a:off x="21659850" y="8877300"/>
          <a:ext cx="150876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203200</xdr:colOff>
      <xdr:row>8</xdr:row>
      <xdr:rowOff>85437</xdr:rowOff>
    </xdr:from>
    <xdr:to>
      <xdr:col>3</xdr:col>
      <xdr:colOff>214211</xdr:colOff>
      <xdr:row>17</xdr:row>
      <xdr:rowOff>85437</xdr:rowOff>
    </xdr:to>
    <mc:AlternateContent xmlns:mc="http://schemas.openxmlformats.org/markup-compatibility/2006" xmlns:tsle="http://schemas.microsoft.com/office/drawing/2012/timeslicer">
      <mc:Choice Requires="tsle">
        <xdr:graphicFrame macro="">
          <xdr:nvGraphicFramePr>
            <xdr:cNvPr id="38" name="Data 1">
              <a:extLst>
                <a:ext uri="{FF2B5EF4-FFF2-40B4-BE49-F238E27FC236}">
                  <a16:creationId xmlns:a16="http://schemas.microsoft.com/office/drawing/2014/main" id="{5CE22ABC-F2C6-44BA-9498-4120976C42FC}"/>
                </a:ext>
              </a:extLst>
            </xdr:cNvPr>
            <xdr:cNvGraphicFramePr/>
          </xdr:nvGraphicFramePr>
          <xdr:xfrm>
            <a:off x="0" y="0"/>
            <a:ext cx="0" cy="0"/>
          </xdr:xfrm>
          <a:graphic>
            <a:graphicData uri="http://schemas.microsoft.com/office/drawing/2012/timeslicer">
              <tsle:timeslicer name="Data 1"/>
            </a:graphicData>
          </a:graphic>
        </xdr:graphicFrame>
      </mc:Choice>
      <mc:Fallback xmlns="">
        <xdr:sp macro="" textlink="">
          <xdr:nvSpPr>
            <xdr:cNvPr id="0" name=""/>
            <xdr:cNvSpPr>
              <a:spLocks noTextEdit="1"/>
            </xdr:cNvSpPr>
          </xdr:nvSpPr>
          <xdr:spPr>
            <a:xfrm>
              <a:off x="203200" y="1812637"/>
              <a:ext cx="1839811" cy="16002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5</xdr:col>
      <xdr:colOff>310670</xdr:colOff>
      <xdr:row>4</xdr:row>
      <xdr:rowOff>17418</xdr:rowOff>
    </xdr:from>
    <xdr:to>
      <xdr:col>27</xdr:col>
      <xdr:colOff>0</xdr:colOff>
      <xdr:row>7</xdr:row>
      <xdr:rowOff>472441</xdr:rowOff>
    </xdr:to>
    <xdr:grpSp>
      <xdr:nvGrpSpPr>
        <xdr:cNvPr id="25" name="Group 25">
          <a:extLst>
            <a:ext uri="{FF2B5EF4-FFF2-40B4-BE49-F238E27FC236}">
              <a16:creationId xmlns:a16="http://schemas.microsoft.com/office/drawing/2014/main" id="{8350D71B-7825-7E62-2B0D-A4F735B113CB}"/>
            </a:ext>
          </a:extLst>
        </xdr:cNvPr>
        <xdr:cNvGrpSpPr/>
      </xdr:nvGrpSpPr>
      <xdr:grpSpPr>
        <a:xfrm>
          <a:off x="3358670" y="728618"/>
          <a:ext cx="13100530" cy="988423"/>
          <a:chOff x="2596696" y="553285"/>
          <a:chExt cx="13382623" cy="1029820"/>
        </a:xfrm>
      </xdr:grpSpPr>
      <xdr:sp macro="" textlink="SheetDashPerformace!B8">
        <xdr:nvSpPr>
          <xdr:cNvPr id="26" name="Rectangle: Rounded Corners 58">
            <a:extLst>
              <a:ext uri="{FF2B5EF4-FFF2-40B4-BE49-F238E27FC236}">
                <a16:creationId xmlns:a16="http://schemas.microsoft.com/office/drawing/2014/main" id="{C3530B40-490B-C129-D2B3-BB3A64DA7139}"/>
              </a:ext>
            </a:extLst>
          </xdr:cNvPr>
          <xdr:cNvSpPr/>
        </xdr:nvSpPr>
        <xdr:spPr>
          <a:xfrm>
            <a:off x="2596696" y="553285"/>
            <a:ext cx="1800000" cy="90000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E108829-BE08-479F-B39D-FCD1E8794C89}" type="TxLink">
              <a:rPr lang="en-US" sz="2800" b="1" i="0" u="none" strike="noStrike">
                <a:solidFill>
                  <a:srgbClr val="000000"/>
                </a:solidFill>
                <a:latin typeface="Aptos Narrow"/>
              </a:rPr>
              <a:pPr algn="ctr"/>
              <a:t>€ 1,40 M</a:t>
            </a:fld>
            <a:endParaRPr lang="uk-UA" sz="2800" b="1">
              <a:latin typeface="+mn-lt"/>
            </a:endParaRPr>
          </a:p>
        </xdr:txBody>
      </xdr:sp>
      <xdr:sp macro="" textlink="">
        <xdr:nvSpPr>
          <xdr:cNvPr id="27" name="Rectangle 12">
            <a:extLst>
              <a:ext uri="{FF2B5EF4-FFF2-40B4-BE49-F238E27FC236}">
                <a16:creationId xmlns:a16="http://schemas.microsoft.com/office/drawing/2014/main" id="{CD933017-EFE1-0FC1-F3C3-83825FE09701}"/>
              </a:ext>
            </a:extLst>
          </xdr:cNvPr>
          <xdr:cNvSpPr/>
        </xdr:nvSpPr>
        <xdr:spPr>
          <a:xfrm>
            <a:off x="2701548" y="1085203"/>
            <a:ext cx="1663921" cy="310255"/>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Total Revenue</a:t>
            </a:r>
            <a:endParaRPr lang="uk-UA" sz="1800" b="1"/>
          </a:p>
        </xdr:txBody>
      </xdr:sp>
      <xdr:sp macro="" textlink="SheetDashPerformace!H12">
        <xdr:nvSpPr>
          <xdr:cNvPr id="28" name="Rectangle: Rounded Corners 61">
            <a:extLst>
              <a:ext uri="{FF2B5EF4-FFF2-40B4-BE49-F238E27FC236}">
                <a16:creationId xmlns:a16="http://schemas.microsoft.com/office/drawing/2014/main" id="{D389BB31-5393-4BEC-AB18-706EA4418DAE}"/>
              </a:ext>
            </a:extLst>
          </xdr:cNvPr>
          <xdr:cNvSpPr/>
        </xdr:nvSpPr>
        <xdr:spPr>
          <a:xfrm>
            <a:off x="4527133" y="553285"/>
            <a:ext cx="1800000" cy="90000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0005B81-80FD-40F5-8FB9-0E5366362DFF}" type="TxLink">
              <a:rPr lang="en-US" sz="2800" b="1" i="0" u="none" strike="noStrike">
                <a:solidFill>
                  <a:srgbClr val="000000"/>
                </a:solidFill>
                <a:latin typeface="Aptos Narrow"/>
              </a:rPr>
              <a:pPr algn="ctr"/>
              <a:t>🟢  10%</a:t>
            </a:fld>
            <a:endParaRPr lang="uk-UA" sz="2800" b="1">
              <a:latin typeface="+mn-lt"/>
            </a:endParaRPr>
          </a:p>
        </xdr:txBody>
      </xdr:sp>
      <xdr:sp macro="" textlink="">
        <xdr:nvSpPr>
          <xdr:cNvPr id="29" name="Rectangle 43">
            <a:extLst>
              <a:ext uri="{FF2B5EF4-FFF2-40B4-BE49-F238E27FC236}">
                <a16:creationId xmlns:a16="http://schemas.microsoft.com/office/drawing/2014/main" id="{2111D78D-EEC9-4B23-9C27-D045C7005486}"/>
              </a:ext>
            </a:extLst>
          </xdr:cNvPr>
          <xdr:cNvSpPr/>
        </xdr:nvSpPr>
        <xdr:spPr>
          <a:xfrm>
            <a:off x="4838518" y="973255"/>
            <a:ext cx="1519677" cy="60985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YoY Growth</a:t>
            </a:r>
            <a:r>
              <a:rPr lang="uk-UA" sz="1400" b="1"/>
              <a:t> </a:t>
            </a:r>
            <a:endParaRPr lang="uk-UA" sz="1400" b="1">
              <a:solidFill>
                <a:schemeClr val="dk1"/>
              </a:solidFill>
              <a:effectLst/>
              <a:latin typeface="+mn-lt"/>
              <a:ea typeface="+mn-ea"/>
              <a:cs typeface="+mn-cs"/>
            </a:endParaRPr>
          </a:p>
          <a:p>
            <a:pPr algn="ctr"/>
            <a:r>
              <a:rPr lang="uk-UA" sz="1400" b="1">
                <a:solidFill>
                  <a:schemeClr val="dk1"/>
                </a:solidFill>
                <a:effectLst/>
                <a:latin typeface="+mn-lt"/>
                <a:ea typeface="+mn-ea"/>
                <a:cs typeface="+mn-cs"/>
              </a:rPr>
              <a:t>2024</a:t>
            </a:r>
            <a:r>
              <a:rPr lang="en-US" sz="1400" b="1">
                <a:solidFill>
                  <a:schemeClr val="dk1"/>
                </a:solidFill>
                <a:effectLst/>
                <a:latin typeface="+mn-lt"/>
                <a:ea typeface="+mn-ea"/>
                <a:cs typeface="+mn-cs"/>
              </a:rPr>
              <a:t> vs 2025</a:t>
            </a:r>
            <a:endParaRPr lang="uk-UA" sz="1400" b="1"/>
          </a:p>
        </xdr:txBody>
      </xdr:sp>
      <xdr:sp macro="" textlink="SheetDashPerformace!D8">
        <xdr:nvSpPr>
          <xdr:cNvPr id="30" name="Rectangle: Rounded Corners 62">
            <a:extLst>
              <a:ext uri="{FF2B5EF4-FFF2-40B4-BE49-F238E27FC236}">
                <a16:creationId xmlns:a16="http://schemas.microsoft.com/office/drawing/2014/main" id="{1A76E4F4-FD6F-4269-995F-F4FF3ED1D0A2}"/>
              </a:ext>
            </a:extLst>
          </xdr:cNvPr>
          <xdr:cNvSpPr/>
        </xdr:nvSpPr>
        <xdr:spPr>
          <a:xfrm>
            <a:off x="6488706" y="553285"/>
            <a:ext cx="1800000" cy="90000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FDFF2AB-7979-4944-ABC5-9F8E6301E4B2}" type="TxLink">
              <a:rPr lang="en-US" sz="2800" b="1" i="0" u="none" strike="noStrike">
                <a:solidFill>
                  <a:srgbClr val="000000"/>
                </a:solidFill>
                <a:latin typeface="Aptos Narrow"/>
              </a:rPr>
              <a:pPr algn="ctr"/>
              <a:t>€ 0,44 M</a:t>
            </a:fld>
            <a:endParaRPr lang="uk-UA" sz="2800" b="1">
              <a:latin typeface="+mn-lt"/>
            </a:endParaRPr>
          </a:p>
        </xdr:txBody>
      </xdr:sp>
      <xdr:sp macro="" textlink="">
        <xdr:nvSpPr>
          <xdr:cNvPr id="31" name="Rectangle 17">
            <a:extLst>
              <a:ext uri="{FF2B5EF4-FFF2-40B4-BE49-F238E27FC236}">
                <a16:creationId xmlns:a16="http://schemas.microsoft.com/office/drawing/2014/main" id="{45319216-07BA-4913-9939-C4AA74B5E419}"/>
              </a:ext>
            </a:extLst>
          </xdr:cNvPr>
          <xdr:cNvSpPr/>
        </xdr:nvSpPr>
        <xdr:spPr>
          <a:xfrm>
            <a:off x="6699756" y="1069566"/>
            <a:ext cx="1386505" cy="278981"/>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Total Profit </a:t>
            </a:r>
            <a:endParaRPr lang="uk-UA" sz="1800" b="1"/>
          </a:p>
        </xdr:txBody>
      </xdr:sp>
      <xdr:sp macro="" textlink="SheetDashPerformace!F11">
        <xdr:nvSpPr>
          <xdr:cNvPr id="32" name="Rectangle: Rounded Corners 62">
            <a:extLst>
              <a:ext uri="{FF2B5EF4-FFF2-40B4-BE49-F238E27FC236}">
                <a16:creationId xmlns:a16="http://schemas.microsoft.com/office/drawing/2014/main" id="{CAE3B0A3-836C-477A-ABBB-81E7FCC08357}"/>
              </a:ext>
            </a:extLst>
          </xdr:cNvPr>
          <xdr:cNvSpPr/>
        </xdr:nvSpPr>
        <xdr:spPr>
          <a:xfrm>
            <a:off x="8388007" y="553285"/>
            <a:ext cx="1800000" cy="90000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241BAEB-9C2C-4592-937F-CB07E0D0999E}" type="TxLink">
              <a:rPr lang="en-US" sz="2800" b="1" i="0" u="none" strike="noStrike">
                <a:solidFill>
                  <a:srgbClr val="000000"/>
                </a:solidFill>
                <a:latin typeface="Aptos Narrow"/>
              </a:rPr>
              <a:pPr algn="ctr"/>
              <a:t>🟢 31%</a:t>
            </a:fld>
            <a:endParaRPr lang="uk-UA" sz="2800" b="1">
              <a:latin typeface="+mn-lt"/>
            </a:endParaRPr>
          </a:p>
        </xdr:txBody>
      </xdr:sp>
      <xdr:sp macro="" textlink="">
        <xdr:nvSpPr>
          <xdr:cNvPr id="33" name="Rectangle 8">
            <a:extLst>
              <a:ext uri="{FF2B5EF4-FFF2-40B4-BE49-F238E27FC236}">
                <a16:creationId xmlns:a16="http://schemas.microsoft.com/office/drawing/2014/main" id="{17CBA78E-E6A6-4A09-8DB6-113ECEE83CDB}"/>
              </a:ext>
            </a:extLst>
          </xdr:cNvPr>
          <xdr:cNvSpPr/>
        </xdr:nvSpPr>
        <xdr:spPr>
          <a:xfrm>
            <a:off x="8711949" y="1107677"/>
            <a:ext cx="1110870" cy="317368"/>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Margin </a:t>
            </a:r>
            <a:endParaRPr lang="uk-UA" sz="1800" b="1"/>
          </a:p>
        </xdr:txBody>
      </xdr:sp>
      <xdr:sp macro="" textlink="SheetDashPerformace!M8">
        <xdr:nvSpPr>
          <xdr:cNvPr id="34" name="Rectangle: Rounded Corners 62">
            <a:extLst>
              <a:ext uri="{FF2B5EF4-FFF2-40B4-BE49-F238E27FC236}">
                <a16:creationId xmlns:a16="http://schemas.microsoft.com/office/drawing/2014/main" id="{461EADEC-8403-41BF-A58E-EECE6A017EDF}"/>
              </a:ext>
            </a:extLst>
          </xdr:cNvPr>
          <xdr:cNvSpPr/>
        </xdr:nvSpPr>
        <xdr:spPr>
          <a:xfrm>
            <a:off x="10318444" y="553285"/>
            <a:ext cx="1800000" cy="90000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E82CADD-D5E4-48D2-AE49-EA23C051716E}" type="TxLink">
              <a:rPr lang="en-US" sz="2800" b="1" i="0" u="none" strike="noStrike">
                <a:solidFill>
                  <a:srgbClr val="000000"/>
                </a:solidFill>
                <a:latin typeface="Aptos Narrow"/>
              </a:rPr>
              <a:pPr algn="ctr"/>
              <a:t>30</a:t>
            </a:fld>
            <a:endParaRPr lang="uk-UA" sz="2800" b="1">
              <a:latin typeface="+mn-lt"/>
            </a:endParaRPr>
          </a:p>
        </xdr:txBody>
      </xdr:sp>
      <xdr:sp macro="" textlink="">
        <xdr:nvSpPr>
          <xdr:cNvPr id="35" name="Rectangle 12">
            <a:extLst>
              <a:ext uri="{FF2B5EF4-FFF2-40B4-BE49-F238E27FC236}">
                <a16:creationId xmlns:a16="http://schemas.microsoft.com/office/drawing/2014/main" id="{001089CF-8C18-44D1-97AA-0CCE849AC684}"/>
              </a:ext>
            </a:extLst>
          </xdr:cNvPr>
          <xdr:cNvSpPr/>
        </xdr:nvSpPr>
        <xdr:spPr>
          <a:xfrm>
            <a:off x="10250795" y="1070304"/>
            <a:ext cx="1929892" cy="481526"/>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b="1"/>
              <a:t>Number of Products</a:t>
            </a:r>
            <a:endParaRPr lang="uk-UA" sz="1600" b="1"/>
          </a:p>
        </xdr:txBody>
      </xdr:sp>
      <xdr:sp macro="" textlink="SheetDashPerformace!D19">
        <xdr:nvSpPr>
          <xdr:cNvPr id="36" name="Rectangle: Rounded Corners 62">
            <a:extLst>
              <a:ext uri="{FF2B5EF4-FFF2-40B4-BE49-F238E27FC236}">
                <a16:creationId xmlns:a16="http://schemas.microsoft.com/office/drawing/2014/main" id="{37F21E42-8119-4CCB-9308-6B9D4FCDBACB}"/>
              </a:ext>
            </a:extLst>
          </xdr:cNvPr>
          <xdr:cNvSpPr/>
        </xdr:nvSpPr>
        <xdr:spPr>
          <a:xfrm>
            <a:off x="12248881" y="553285"/>
            <a:ext cx="1800000" cy="90000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A4226F7-89CD-4D6E-B5E7-E7768FF85C21}" type="TxLink">
              <a:rPr lang="en-US" sz="2800" b="1" i="0" u="none" strike="noStrike">
                <a:solidFill>
                  <a:srgbClr val="C00000"/>
                </a:solidFill>
                <a:latin typeface="Aptos Narrow"/>
              </a:rPr>
              <a:pPr algn="ctr"/>
              <a:t>€ 0,16 M</a:t>
            </a:fld>
            <a:endParaRPr lang="uk-UA" sz="2800" b="1">
              <a:solidFill>
                <a:srgbClr val="C00000"/>
              </a:solidFill>
              <a:latin typeface="+mn-lt"/>
            </a:endParaRPr>
          </a:p>
        </xdr:txBody>
      </xdr:sp>
      <xdr:sp macro="" textlink="">
        <xdr:nvSpPr>
          <xdr:cNvPr id="37" name="Rectangle 15">
            <a:extLst>
              <a:ext uri="{FF2B5EF4-FFF2-40B4-BE49-F238E27FC236}">
                <a16:creationId xmlns:a16="http://schemas.microsoft.com/office/drawing/2014/main" id="{F1A4F9E2-233E-470F-B012-662003F57109}"/>
              </a:ext>
            </a:extLst>
          </xdr:cNvPr>
          <xdr:cNvSpPr/>
        </xdr:nvSpPr>
        <xdr:spPr>
          <a:xfrm>
            <a:off x="12369108" y="1086787"/>
            <a:ext cx="1605280" cy="31242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Return Impact </a:t>
            </a:r>
            <a:endParaRPr lang="uk-UA" sz="1800" b="1"/>
          </a:p>
        </xdr:txBody>
      </xdr:sp>
      <xdr:sp macro="" textlink="SheetDashPerformace!J8">
        <xdr:nvSpPr>
          <xdr:cNvPr id="39" name="Rectangle: Rounded Corners 62">
            <a:extLst>
              <a:ext uri="{FF2B5EF4-FFF2-40B4-BE49-F238E27FC236}">
                <a16:creationId xmlns:a16="http://schemas.microsoft.com/office/drawing/2014/main" id="{C6C2612E-05AB-492A-88C7-D138A3FB3D16}"/>
              </a:ext>
            </a:extLst>
          </xdr:cNvPr>
          <xdr:cNvSpPr/>
        </xdr:nvSpPr>
        <xdr:spPr>
          <a:xfrm>
            <a:off x="14179319" y="553285"/>
            <a:ext cx="1800000" cy="90000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9208C28F-F1AC-446A-9066-95077A7D4492}" type="TxLink">
              <a:rPr lang="en-US" sz="2800" b="1" i="0" u="none" strike="noStrike">
                <a:solidFill>
                  <a:srgbClr val="C00000"/>
                </a:solidFill>
                <a:latin typeface="Aptos Narrow"/>
                <a:ea typeface="+mn-ea"/>
                <a:cs typeface="+mn-cs"/>
              </a:rPr>
              <a:pPr marL="0" indent="0" algn="ctr"/>
              <a:t>10,01%</a:t>
            </a:fld>
            <a:endParaRPr lang="uk-UA" sz="2800" b="1" i="0" u="none" strike="noStrike">
              <a:solidFill>
                <a:srgbClr val="C00000"/>
              </a:solidFill>
              <a:latin typeface="Aptos Narrow"/>
              <a:ea typeface="+mn-ea"/>
              <a:cs typeface="+mn-cs"/>
            </a:endParaRPr>
          </a:p>
        </xdr:txBody>
      </xdr:sp>
      <xdr:sp macro="" textlink="">
        <xdr:nvSpPr>
          <xdr:cNvPr id="40" name="Rectangle 17">
            <a:extLst>
              <a:ext uri="{FF2B5EF4-FFF2-40B4-BE49-F238E27FC236}">
                <a16:creationId xmlns:a16="http://schemas.microsoft.com/office/drawing/2014/main" id="{4F4776AC-958E-4F52-BE26-82719CEFF1D8}"/>
              </a:ext>
            </a:extLst>
          </xdr:cNvPr>
          <xdr:cNvSpPr/>
        </xdr:nvSpPr>
        <xdr:spPr>
          <a:xfrm>
            <a:off x="14299047" y="1077472"/>
            <a:ext cx="1515341" cy="33105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Return Rate % </a:t>
            </a:r>
            <a:endParaRPr lang="uk-UA" sz="1800" b="1"/>
          </a:p>
        </xdr:txBody>
      </xdr:sp>
    </xdr:grpSp>
    <xdr:clientData/>
  </xdr:twoCellAnchor>
  <xdr:twoCellAnchor editAs="oneCell">
    <xdr:from>
      <xdr:col>31</xdr:col>
      <xdr:colOff>431437</xdr:colOff>
      <xdr:row>1</xdr:row>
      <xdr:rowOff>55419</xdr:rowOff>
    </xdr:from>
    <xdr:to>
      <xdr:col>32</xdr:col>
      <xdr:colOff>477157</xdr:colOff>
      <xdr:row>4</xdr:row>
      <xdr:rowOff>162099</xdr:rowOff>
    </xdr:to>
    <xdr:pic>
      <xdr:nvPicPr>
        <xdr:cNvPr id="20" name="Graphic 19" descr="Work from home house with solid fill">
          <a:hlinkClick xmlns:r="http://schemas.openxmlformats.org/officeDocument/2006/relationships" r:id="rId3"/>
          <a:extLst>
            <a:ext uri="{FF2B5EF4-FFF2-40B4-BE49-F238E27FC236}">
              <a16:creationId xmlns:a16="http://schemas.microsoft.com/office/drawing/2014/main" id="{B375ED95-68B0-456C-AC26-DD399948662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9148928" y="235528"/>
          <a:ext cx="655320" cy="647007"/>
        </a:xfrm>
        <a:prstGeom prst="rect">
          <a:avLst/>
        </a:prstGeom>
      </xdr:spPr>
    </xdr:pic>
    <xdr:clientData/>
  </xdr:twoCellAnchor>
  <xdr:twoCellAnchor>
    <xdr:from>
      <xdr:col>4</xdr:col>
      <xdr:colOff>259080</xdr:colOff>
      <xdr:row>33</xdr:row>
      <xdr:rowOff>45720</xdr:rowOff>
    </xdr:from>
    <xdr:to>
      <xdr:col>18</xdr:col>
      <xdr:colOff>518160</xdr:colOff>
      <xdr:row>56</xdr:row>
      <xdr:rowOff>12700</xdr:rowOff>
    </xdr:to>
    <xdr:graphicFrame macro="">
      <xdr:nvGraphicFramePr>
        <xdr:cNvPr id="6" name="Chart 5">
          <a:extLst>
            <a:ext uri="{FF2B5EF4-FFF2-40B4-BE49-F238E27FC236}">
              <a16:creationId xmlns:a16="http://schemas.microsoft.com/office/drawing/2014/main" id="{7D1A46D0-8814-49AB-8D1C-4414F7754D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91440</xdr:colOff>
      <xdr:row>8</xdr:row>
      <xdr:rowOff>121920</xdr:rowOff>
    </xdr:from>
    <xdr:to>
      <xdr:col>29</xdr:col>
      <xdr:colOff>518160</xdr:colOff>
      <xdr:row>31</xdr:row>
      <xdr:rowOff>76200</xdr:rowOff>
    </xdr:to>
    <xdr:graphicFrame macro="">
      <xdr:nvGraphicFramePr>
        <xdr:cNvPr id="8" name="Chart 7">
          <a:extLst>
            <a:ext uri="{FF2B5EF4-FFF2-40B4-BE49-F238E27FC236}">
              <a16:creationId xmlns:a16="http://schemas.microsoft.com/office/drawing/2014/main" id="{4F0409E4-6B00-4CC9-81B8-D20D1752C0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320040</xdr:colOff>
      <xdr:row>8</xdr:row>
      <xdr:rowOff>121920</xdr:rowOff>
    </xdr:from>
    <xdr:to>
      <xdr:col>37</xdr:col>
      <xdr:colOff>91440</xdr:colOff>
      <xdr:row>31</xdr:row>
      <xdr:rowOff>137160</xdr:rowOff>
    </xdr:to>
    <xdr:sp macro="" textlink="">
      <xdr:nvSpPr>
        <xdr:cNvPr id="9" name="Rectangle: Rounded Corners 62">
          <a:extLst>
            <a:ext uri="{FF2B5EF4-FFF2-40B4-BE49-F238E27FC236}">
              <a16:creationId xmlns:a16="http://schemas.microsoft.com/office/drawing/2014/main" id="{715ED955-D436-4A99-A26B-CF90E33DA7B8}"/>
            </a:ext>
          </a:extLst>
        </xdr:cNvPr>
        <xdr:cNvSpPr/>
      </xdr:nvSpPr>
      <xdr:spPr>
        <a:xfrm>
          <a:off x="18440400" y="1889760"/>
          <a:ext cx="4038600" cy="422148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800" b="1">
              <a:solidFill>
                <a:sysClr val="windowText" lastClr="000000"/>
              </a:solidFill>
            </a:rPr>
            <a:t>Strategic Recommendations</a:t>
          </a:r>
          <a:endParaRPr lang="uk-UA" sz="2800" b="1">
            <a:solidFill>
              <a:sysClr val="windowText" lastClr="000000"/>
            </a:solidFill>
          </a:endParaRPr>
        </a:p>
        <a:p>
          <a:pPr marL="0" indent="0" algn="ctr"/>
          <a:r>
            <a:rPr lang="en-US" sz="1800">
              <a:solidFill>
                <a:sysClr val="windowText" lastClr="000000"/>
              </a:solidFill>
            </a:rPr>
            <a:t>Focus on expanding Star products, as they generate the highest revenue and margin.</a:t>
          </a:r>
        </a:p>
        <a:p>
          <a:pPr marL="0" indent="0" algn="ctr"/>
          <a:endParaRPr lang="en-US" sz="1800">
            <a:solidFill>
              <a:sysClr val="windowText" lastClr="000000"/>
            </a:solidFill>
          </a:endParaRPr>
        </a:p>
        <a:p>
          <a:pPr marL="0" indent="0" algn="ctr"/>
          <a:r>
            <a:rPr lang="en-US" sz="1800">
              <a:solidFill>
                <a:sysClr val="windowText" lastClr="000000"/>
              </a:solidFill>
            </a:rPr>
            <a:t>Optimise pricing and cost structure for Volume products to improve profitability.</a:t>
          </a:r>
        </a:p>
        <a:p>
          <a:pPr marL="0" indent="0" algn="ctr"/>
          <a:endParaRPr lang="en-US" sz="1800">
            <a:solidFill>
              <a:sysClr val="windowText" lastClr="000000"/>
            </a:solidFill>
          </a:endParaRPr>
        </a:p>
        <a:p>
          <a:pPr marL="0" indent="0" algn="ctr"/>
          <a:r>
            <a:rPr lang="en-US" sz="1800">
              <a:solidFill>
                <a:sysClr val="windowText" lastClr="000000"/>
              </a:solidFill>
            </a:rPr>
            <a:t>Invest in marketing for high-margin Niche products to increase sales volume.</a:t>
          </a:r>
          <a:endParaRPr lang="en-US" sz="1800" b="1" i="0" u="none" strike="noStrike">
            <a:solidFill>
              <a:sysClr val="windowText" lastClr="000000"/>
            </a:solidFill>
            <a:latin typeface="Aptos Narrow"/>
            <a:ea typeface="+mn-ea"/>
            <a:cs typeface="+mn-cs"/>
          </a:endParaRPr>
        </a:p>
      </xdr:txBody>
    </xdr:sp>
    <xdr:clientData/>
  </xdr:twoCellAnchor>
  <xdr:twoCellAnchor>
    <xdr:from>
      <xdr:col>30</xdr:col>
      <xdr:colOff>335280</xdr:colOff>
      <xdr:row>33</xdr:row>
      <xdr:rowOff>121920</xdr:rowOff>
    </xdr:from>
    <xdr:to>
      <xdr:col>37</xdr:col>
      <xdr:colOff>106680</xdr:colOff>
      <xdr:row>56</xdr:row>
      <xdr:rowOff>30480</xdr:rowOff>
    </xdr:to>
    <xdr:sp macro="" textlink="">
      <xdr:nvSpPr>
        <xdr:cNvPr id="10" name="Rectangle: Rounded Corners 62">
          <a:extLst>
            <a:ext uri="{FF2B5EF4-FFF2-40B4-BE49-F238E27FC236}">
              <a16:creationId xmlns:a16="http://schemas.microsoft.com/office/drawing/2014/main" id="{C44FD2CA-67C4-4762-93BD-2F4E9B31F972}"/>
            </a:ext>
          </a:extLst>
        </xdr:cNvPr>
        <xdr:cNvSpPr/>
      </xdr:nvSpPr>
      <xdr:spPr>
        <a:xfrm>
          <a:off x="18455640" y="6461760"/>
          <a:ext cx="4038600" cy="4114800"/>
        </a:xfrm>
        <a:prstGeom prst="roundRect">
          <a:avLst/>
        </a:prstGeom>
        <a:solidFill>
          <a:schemeClr val="bg1"/>
        </a:solidFill>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800" b="1">
              <a:solidFill>
                <a:sysClr val="windowText" lastClr="000000"/>
              </a:solidFill>
            </a:rPr>
            <a:t>Operational Actions</a:t>
          </a:r>
          <a:endParaRPr lang="uk-UA" sz="2800" b="1">
            <a:solidFill>
              <a:sysClr val="windowText" lastClr="000000"/>
            </a:solidFill>
          </a:endParaRPr>
        </a:p>
        <a:p>
          <a:pPr marL="0" indent="0" algn="ctr"/>
          <a:r>
            <a:rPr lang="en-US" sz="1800">
              <a:solidFill>
                <a:sysClr val="windowText" lastClr="000000"/>
              </a:solidFill>
            </a:rPr>
            <a:t>Review and potentially remove low-performing Problem products.</a:t>
          </a:r>
          <a:br>
            <a:rPr lang="en-US" sz="1800">
              <a:solidFill>
                <a:sysClr val="windowText" lastClr="000000"/>
              </a:solidFill>
            </a:rPr>
          </a:br>
          <a:endParaRPr lang="uk-UA" sz="1800">
            <a:solidFill>
              <a:sysClr val="windowText" lastClr="000000"/>
            </a:solidFill>
          </a:endParaRPr>
        </a:p>
        <a:p>
          <a:pPr marL="0" indent="0" algn="ctr"/>
          <a:r>
            <a:rPr lang="en-US" sz="1800">
              <a:solidFill>
                <a:sysClr val="windowText" lastClr="000000"/>
              </a:solidFill>
            </a:rPr>
            <a:t>Monitor return rate and reduce returns through better demand planning and quality control.</a:t>
          </a:r>
          <a:br>
            <a:rPr lang="en-US" sz="1800">
              <a:solidFill>
                <a:sysClr val="windowText" lastClr="000000"/>
              </a:solidFill>
            </a:rPr>
          </a:br>
          <a:br>
            <a:rPr lang="en-US" sz="1800">
              <a:solidFill>
                <a:sysClr val="windowText" lastClr="000000"/>
              </a:solidFill>
            </a:rPr>
          </a:br>
          <a:r>
            <a:rPr lang="en-US" sz="1800">
              <a:solidFill>
                <a:sysClr val="windowText" lastClr="000000"/>
              </a:solidFill>
            </a:rPr>
            <a:t>Prioritise product portfolio optimisation based on profitability and sales performance.</a:t>
          </a:r>
          <a:endParaRPr lang="en-US" sz="1800" b="1" i="0" u="none" strike="noStrike">
            <a:solidFill>
              <a:sysClr val="windowText" lastClr="000000"/>
            </a:solidFill>
            <a:latin typeface="Aptos Narrow"/>
            <a:ea typeface="+mn-ea"/>
            <a:cs typeface="+mn-cs"/>
          </a:endParaRPr>
        </a:p>
      </xdr:txBody>
    </xdr:sp>
    <xdr:clientData/>
  </xdr:twoCellAnchor>
  <xdr:twoCellAnchor>
    <xdr:from>
      <xdr:col>4</xdr:col>
      <xdr:colOff>274320</xdr:colOff>
      <xdr:row>8</xdr:row>
      <xdr:rowOff>91440</xdr:rowOff>
    </xdr:from>
    <xdr:to>
      <xdr:col>18</xdr:col>
      <xdr:colOff>487680</xdr:colOff>
      <xdr:row>31</xdr:row>
      <xdr:rowOff>45720</xdr:rowOff>
    </xdr:to>
    <xdr:graphicFrame macro="">
      <xdr:nvGraphicFramePr>
        <xdr:cNvPr id="11" name="Chart 10">
          <a:extLst>
            <a:ext uri="{FF2B5EF4-FFF2-40B4-BE49-F238E27FC236}">
              <a16:creationId xmlns:a16="http://schemas.microsoft.com/office/drawing/2014/main" id="{DED4E478-DB46-4481-B25C-3603F27FE3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140745</xdr:colOff>
      <xdr:row>15</xdr:row>
      <xdr:rowOff>179072</xdr:rowOff>
    </xdr:from>
    <xdr:to>
      <xdr:col>16</xdr:col>
      <xdr:colOff>448236</xdr:colOff>
      <xdr:row>31</xdr:row>
      <xdr:rowOff>17707</xdr:rowOff>
    </xdr:to>
    <xdr:graphicFrame macro="">
      <xdr:nvGraphicFramePr>
        <xdr:cNvPr id="8" name="Chart 7">
          <a:extLst>
            <a:ext uri="{FF2B5EF4-FFF2-40B4-BE49-F238E27FC236}">
              <a16:creationId xmlns:a16="http://schemas.microsoft.com/office/drawing/2014/main" id="{A5FC3249-D1AB-5B52-602A-0DFE3E238F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455389814815" backgroundQuery="1" createdVersion="8" refreshedVersion="8" minRefreshableVersion="3" recordCount="0" supportSubquery="1" supportAdvancedDrill="1" xr:uid="{8E222239-0866-4006-9DB3-C2E603DE3D6F}">
  <cacheSource type="external" connectionId="2"/>
  <cacheFields count="2">
    <cacheField name="[Measures].[Total Lucro]" caption="Total Lucro" numFmtId="0" hierarchy="33" level="32767"/>
    <cacheField name="[Dim_Produtos].[Designação].[Designação]" caption="Designação" numFmtId="0" hierarchy="16" level="1">
      <sharedItems count="5">
        <s v="Attr_100"/>
        <s v="Attr_52"/>
        <s v="Attr_6"/>
        <s v="Attr_62"/>
        <s v="Attr_9"/>
      </sharedItems>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2" memberValueDatatype="130" unbalanced="0">
      <fieldsUsage count="2">
        <fieldUsage x="-1"/>
        <fieldUsage x="1"/>
      </fieldsUsage>
    </cacheHierarchy>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0" memberValueDatatype="130" unbalanced="0"/>
    <cacheHierarchy uniqueName="[Dim_Produtos].[Gama Permanente]" caption="Gama Permanente" attribute="1" defaultMemberUniqueName="[Dim_Produtos].[Gama Permanente].[All]" allUniqueName="[Dim_Produtos].[Gama Permanente].[All]" dimensionUniqueName="[Dim_Produtos]" displayFolder="" count="0" memberValueDatatype="130" unbalanced="0"/>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0"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oneField="1">
      <fieldsUsage count="1">
        <fieldUsage x="0"/>
      </fieldsUsage>
    </cacheHierarchy>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455391203701" backgroundQuery="1" createdVersion="8" refreshedVersion="8" minRefreshableVersion="3" recordCount="0" supportSubquery="1" supportAdvancedDrill="1" xr:uid="{4987B0A5-3281-43BB-AF1D-F975CCAC1203}">
  <cacheSource type="external" connectionId="2"/>
  <cacheFields count="2">
    <cacheField name="[Dim_Gestor].[Gestor].[Gestor]" caption="Gestor" numFmtId="0" hierarchy="14" level="1">
      <sharedItems count="6">
        <s v="Gestor 1"/>
        <s v="Gestor 2"/>
        <s v="Gestor 3"/>
        <s v="Gestor 4"/>
        <s v="Gestor 5"/>
        <s v="Gestor 6"/>
      </sharedItems>
    </cacheField>
    <cacheField name="[Measures].[Sum of Valor]" caption="Sum of Valor" numFmtId="0" hierarchy="64" level="32767"/>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2" memberValueDatatype="130" unbalanced="0">
      <fieldsUsage count="2">
        <fieldUsage x="-1"/>
        <fieldUsage x="0"/>
      </fieldsUsage>
    </cacheHierarchy>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0" memberValueDatatype="130" unbalanced="0"/>
    <cacheHierarchy uniqueName="[Dim_Produtos].[Gama Permanente]" caption="Gama Permanente" attribute="1" defaultMemberUniqueName="[Dim_Produtos].[Gama Permanente].[All]" allUniqueName="[Dim_Produtos].[Gama Permanente].[All]" dimensionUniqueName="[Dim_Produtos]" displayFolder="" count="0" memberValueDatatype="130" unbalanced="0"/>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0"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oneField="1" hidden="1">
      <fieldsUsage count="1">
        <fieldUsage x="1"/>
      </fieldsUsage>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A Tania" refreshedDate="46112.484900462965" createdVersion="8" refreshedVersion="8" minRefreshableVersion="3" recordCount="27" xr:uid="{BE25C7CF-0DF9-4389-8152-AE618D2A9245}">
  <cacheSource type="worksheet">
    <worksheetSource ref="AL6:AP33" sheet="SheetDashPerformace"/>
  </cacheSource>
  <cacheFields count="5">
    <cacheField name="Row Labels" numFmtId="0">
      <sharedItems/>
    </cacheField>
    <cacheField name="Total Valor" numFmtId="0">
      <sharedItems containsSemiMixedTypes="0" containsString="0" containsNumber="1" minValue="2508.9" maxValue="84130.19" count="27">
        <n v="3041.52"/>
        <n v="37273.5"/>
        <n v="13359.26"/>
        <n v="9262.6"/>
        <n v="4879.17"/>
        <n v="2508.9"/>
        <n v="7501.41"/>
        <n v="34918.35"/>
        <n v="28199.94"/>
        <n v="4052.2"/>
        <n v="8886.9"/>
        <n v="53726.25"/>
        <n v="16713.12"/>
        <n v="32555.34"/>
        <n v="52955.98"/>
        <n v="14348.79"/>
        <n v="84130.19"/>
        <n v="16823.8"/>
        <n v="26569.29"/>
        <n v="20027.150000000001"/>
        <n v="15219.1"/>
        <n v="43719.73"/>
        <n v="30461.37"/>
        <n v="35924.81"/>
        <n v="9009.84"/>
        <n v="52592.61"/>
        <n v="5594.16"/>
      </sharedItems>
    </cacheField>
    <cacheField name="Total Lucro" numFmtId="0">
      <sharedItems containsSemiMixedTypes="0" containsString="0" containsNumber="1" minValue="487.44" maxValue="23819.97"/>
    </cacheField>
    <cacheField name="Margem %" numFmtId="0">
      <sharedItems containsSemiMixedTypes="0" containsString="0" containsNumber="1" minValue="0.16026197427601988" maxValue="0.50177187700508363"/>
    </cacheField>
    <cacheField name="Quadrant" numFmtId="0">
      <sharedItems count="4">
        <s v="Problem"/>
        <s v="Star"/>
        <s v="Niche"/>
        <s v="Volume"/>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174652775" backgroundQuery="1" createdVersion="8" refreshedVersion="8" minRefreshableVersion="3" recordCount="0" supportSubquery="1" supportAdvancedDrill="1" xr:uid="{501E5FFB-BB51-4302-BDD1-02BC5E453363}">
  <cacheSource type="external" connectionId="2"/>
  <cacheFields count="5">
    <cacheField name="[Dim_Produtos].[Designação].[Designação]" caption="Designação" numFmtId="0" hierarchy="16" level="1">
      <sharedItems count="100">
        <s v="100PCS PIPE CLEANERS CONICAL SHAPE"/>
        <s v="100PCS PIPE CLEANERS STRAIGHT SHAPE"/>
        <s v="ADITIVO ADBLUE FILLBLUE 10L"/>
        <s v="ALCOOL ETILICO 70VV AMANHECER 250ML"/>
        <s v="ALCOOL ETILICO 96º BITREX"/>
        <s v="ALCOOL ETILICO 96VV AMANHECER 250ML"/>
        <s v="ALCOOL ETILICO 96VV PINGO DOCE 250ML"/>
        <s v="AMB AEROSSOL LAVANDA ULTRA PRO 300ML"/>
        <s v="AMB AEROSSOL MARINHO ULTRA PRO 300ML"/>
        <s v="AMB AEROSSOL TROPICAL ULTRA PRO 300ML"/>
        <s v="APARADOR MULTIFUNCOES 10 EM 1 HOFFEN AMR-H106"/>
        <s v="AQUECEDOR CERAMICO HOFFEN COLUNA ADTM-H102"/>
        <s v="AR CONDICIONADO PORTATIL 7000 BTU ACPJHS-H169"/>
        <s v="ASPIRADOR S/SACO HOFFEN ACDC-H165"/>
        <s v="ASPIRADOR VERTICAL HOFFEN AVRH-H122"/>
        <s v="BATEDEIRA HOFFEN B8007A"/>
        <s v="BRIQUETES NOVA LENHA 12 UN"/>
        <s v="CAIXA TERM BASTA-BOX XL 44L"/>
        <s v="CALICE VINHO 50CL CANTINE BORMIOLI"/>
        <s v="CARRINHO COMPRAS RAFIA P.DOCE - JULIANA"/>
        <s v="CARRO TELECOMANDADO 1 24 RASTAR"/>
        <s v="CARVAO CHURRASQUEIRA MCHEF 15KG"/>
        <s v="CARVAO MARABU INFLAME 14KG"/>
        <s v="CARVAO VEGETAL AMANHECER 3KG"/>
        <s v="CARVAO VEGETAL AMANHECER 5 KG"/>
        <s v="CARVAO VEGETAL HOME7 10KG"/>
        <s v="CARVAO VEGETAL HOME7 5KG"/>
        <s v="CARVAO VEGETAL MASTERCHEF 10 KG"/>
        <s v="CHAPEU CHUVA CC1.17M"/>
        <s v="CREME HIDRATANTE BIOCARE COSMETICS 1KG"/>
        <s v="CX CONSERV TAMP MOLA 3UN SMUKEE SKC3CHTM"/>
        <s v="CX HERMETICA QUAD VIDR 800ML SMUKEE/QUTTIN SKCHV8"/>
        <s v="CX HERMETICA RECT VIDR 1.5L SMUKEE SKCHV15"/>
        <s v="CX HERMETICA RECT VIDR 400/600/1000ML 3UN SMUKEE SK3CHVR"/>
        <s v="CX HERMETICA RECT VIDR 600ML SMUKEE SKCHV6"/>
        <s v="DESUMIDIFICADOR HOFFEN 10L DJHS-H081"/>
        <s v="ESFREGAO ACO INOX 4UN SOFTTY W410-4X19GRS"/>
        <s v="ESPREMEDOR CITRINOS HOFFEN ECUK-H061"/>
        <s v="EXP MOCHILA ESTOJOS LANCHEIRAS LICENCAS"/>
        <s v="EXPOSITOR SPARKLE CONES"/>
        <s v="FAQUEIRO 24P CABO PLASTICO SMUKEE"/>
        <s v="FERRO CALDEIRA HOFFEN GERADOR VAPOR FGVTK-H014"/>
        <s v="FERRO ENGOMAR HOFFEN FENK-H087"/>
        <s v="FILTRO JARRO SMUKEE SKFJFA2.4"/>
        <s v="FORNO HOFFEN ELEC 21L 1200W FE23LHE-H064"/>
        <s v="FRALDA CUECA RASCALS T4 10-15KG 32UN"/>
        <s v="FRALDA CUECA RASCALS T5 13-18KG 28UN"/>
        <s v="FRALDA CUECA RASCALS T6 +16KG 26UN"/>
        <s v="FRALDAS BEBE T1 3-5KG 44UN RASCALS"/>
        <s v="FRALDAS BEBE T2 4-8KG 40UN RASCALS"/>
        <s v="FRALDAS BEBE T3 6-11KG 34UN RASCALS"/>
        <s v="FRALDAS BEBE T4 10-15KG 30UN RASCALS"/>
        <s v="FRALDAS BEBE T5 13-18KG 26UN RASCALS"/>
        <s v="FRALDAS BEBE T5 13-18KG 28UN RASCALS"/>
        <s v="FRALDAS BEBE T6 16-24KG 24UN RASCALS"/>
        <s v="FRALDAS BEBE T7 +17KG 20UN RASCALS"/>
        <s v="FRALDAS RASCAL &amp; FRIENDS T1 3-5KG 44UN"/>
        <s v="FRALDAS RASCAL &amp; FRIENDS T2 4-8KG 40UN"/>
        <s v="FRALDAS RASCAL &amp; FRIENDS T3 6-11KG 32UN"/>
        <s v="FRALDAS RASCAL &amp; FRIENDS T4 10-15KG 30UN"/>
        <s v="FRALDAS RASCAL &amp; FRIENDS T5 13-18KG 28UN"/>
        <s v="FRALDAS RASCAL &amp; FRIENDS T6 16-24KG 24UN"/>
        <s v="FRALDAS RASCALS BIG PACK T3 6-11KG 68UN"/>
        <s v="FRALDAS RASCALS BIG PACK T4 10-15KG 62UN"/>
        <s v="FRALDAS RASCALS BIG PACK T5 13-18KG 58UN"/>
        <s v="FRITADEIRA S/OLEO 3.2L HOFFEN FOOD EXPERT AFUK-H162"/>
        <s v="FRITADEIRA S/OLEO 4.5L HOFFEN FOOD EXPERT AFBBT-H160"/>
        <s v="FRITADEIRA S/OLEO 6.5L HOFFEN AFNL-H177"/>
        <s v="GRELHADOR ELETRICO HOFFEN GBNY-H132"/>
        <s v="JARRO ELETRICO HOFFEN LLB-8822"/>
        <s v="LAMPARINAS 100UN SMUKEE SHTLCP100"/>
        <s v="LIQUIDIFICADOR HOFFEN FOOD EXPERT LRNK-H154"/>
        <s v="LIQUIDIFICADOR HOFFEN LBD-H123"/>
        <s v="MICROONDAS 20L HOFFEN MM20LG-H176"/>
        <s v="MICROONDAS C GRILL 20L HOFFEN MMG20LG-H172"/>
        <s v="MINI GRELHADOR HOFFEN MGNK-H097"/>
        <s v="PANELA PRESSAO ACO INOX 6L MAGEFESA EASYCLICK 6"/>
        <s v="PILHAS ALC AA LR6 8UN LETHE PLR6-L026"/>
        <s v="Rattan Sticks 3x200mm Set 5 - Without polybag"/>
        <s v="ROLO ADESIVO + RECARGAS HOME 7 - DISPLAY MISTO"/>
        <s v="ROLO DE PANOS MULTIUSOS SOFTTY 50UN"/>
        <s v="SACO ISOTERMICO ECO PINGO DOCE"/>
        <s v="SACO PELLETS 15KG NOVA LENHA"/>
        <s v="SACO RAFIA AMANHECER"/>
        <s v="SACOS DEJETOS CAO BIODEGRAD 4X20UNID"/>
        <s v="SANDUICHEIRA BR HOFFEN SDNK-H193"/>
        <s v="SECADOR CABELO HOFFEN SCD-H113"/>
        <s v="SOLUCAO DERMICA HIDRODINE 125ML"/>
        <s v="TERMOVENTILADOR HOFFEN TCL-H070"/>
        <s v="TORRADEIRA DUPLA HOFFEN TDPH-H137"/>
        <s v="TREM COZINHA 5PCS ACO INOX BRILHANTE SMUKEE SKTC5PAII"/>
        <s v="TREM COZINHA 5PCS ACO INOX TAMPA VIDRO SMUKEE SKTC5PAITVI"/>
        <s v="TV 43  FRAMELESS FHD DVB-T2 ANDROID"/>
        <s v="TV 43 SERIE P755 DLED 4K TCL"/>
        <s v="TV 55  FRAMELESS UHD DVB-T2 WHALE SYSTEM 8G BLUETOOTH"/>
        <s v="TV 65  FRAMELESS UHD DVB-T2 WHALE SYSTEM 8G BLUETOOTH"/>
        <s v="TV LED SILVER 32&quot; HD READY FRAMELESS"/>
        <s v="TV LED SILVER 40&quot; FHD SMART ANDROID FRAMELESS"/>
        <s v="VARINHA MAGICA 3EM1 HOFFEN HB809-800 (BR/PR)"/>
        <s v="VARINHA MAGICA BR/PR C/COPO HOFFEN VMP-H200 B"/>
      </sharedItems>
    </cacheField>
    <cacheField name="[F_Vendas_Cliente].[Flag_Zero_Row].[Flag_Zero_Row]" caption="Flag_Zero_Row" numFmtId="0" hierarchy="29" level="1">
      <sharedItems containsSemiMixedTypes="0" containsNonDate="0" containsString="0"/>
    </cacheField>
    <cacheField name="[F_Vendas_Cliente].[Flag_Valor_Neg].[Flag_Valor_Neg]" caption="Flag_Valor_Neg" numFmtId="0" hierarchy="28" level="1">
      <sharedItems containsSemiMixedTypes="0" containsNonDate="0" containsString="0"/>
    </cacheField>
    <cacheField name="[Measures].[Total Valor]" caption="Total Valor" numFmtId="0" hierarchy="32" level="32767"/>
    <cacheField name="[Dim_Produtos].[Categoria].[Categoria]" caption="Categoria" numFmtId="0" hierarchy="19" level="1">
      <sharedItems count="5">
        <s v="Electronics Plus"/>
        <s v="Home Essentials"/>
        <s v="Kitchen Pro"/>
        <s v="Outdoor Gear"/>
        <s v="Smart Living"/>
      </sharedItems>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2" memberValueDatatype="130" unbalanced="0">
      <fieldsUsage count="2">
        <fieldUsage x="-1"/>
        <fieldUsage x="0"/>
      </fieldsUsage>
    </cacheHierarchy>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fieldsUsage count="2">
        <fieldUsage x="-1"/>
        <fieldUsage x="4"/>
      </fieldsUsage>
    </cacheHierarchy>
    <cacheHierarchy uniqueName="[Dim_Produtos].[Gama Permanente]" caption="Gama Permanente" attribute="1" defaultMemberUniqueName="[Dim_Produtos].[Gama Permanente].[All]" allUniqueName="[Dim_Produtos].[Gama Permanente].[All]" dimensionUniqueName="[Dim_Produtos]" displayFolder="" count="0" memberValueDatatype="130" unbalanced="0"/>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2" memberValueDatatype="20" unbalanced="0">
      <fieldsUsage count="2">
        <fieldUsage x="-1"/>
        <fieldUsage x="2"/>
      </fieldsUsage>
    </cacheHierarchy>
    <cacheHierarchy uniqueName="[F_Vendas_Cliente].[Flag_Zero_Row]" caption="Flag_Zero_Row" attribute="1" defaultMemberUniqueName="[F_Vendas_Cliente].[Flag_Zero_Row].[All]" allUniqueName="[F_Vendas_Cliente].[Flag_Zero_Row].[All]" dimensionUniqueName="[F_Vendas_Cliente]" displayFolder="" count="2" memberValueDatatype="20" unbalanced="0">
      <fieldsUsage count="2">
        <fieldUsage x="-1"/>
        <fieldUsage x="1"/>
      </fieldsUsage>
    </cacheHierarchy>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oneField="1">
      <fieldsUsage count="1">
        <fieldUsage x="3"/>
      </fieldsUsage>
    </cacheHierarchy>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0092596" backgroundQuery="1" createdVersion="8" refreshedVersion="8" minRefreshableVersion="3" recordCount="0" supportSubquery="1" supportAdvancedDrill="1" xr:uid="{E1D92896-3723-4D47-8C44-C5F5442049E9}">
  <cacheSource type="external" connectionId="2"/>
  <cacheFields count="2">
    <cacheField name="[Measures].[Produtos Ativos]" caption="Produtos Ativos" numFmtId="0" hierarchy="43"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oneField="1">
      <fieldsUsage count="1">
        <fieldUsage x="0"/>
      </fieldsUsage>
    </cacheHierarchy>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0324073" backgroundQuery="1" createdVersion="8" refreshedVersion="8" minRefreshableVersion="3" recordCount="0" supportSubquery="1" supportAdvancedDrill="1" xr:uid="{2E48521E-5DE7-431B-8C1B-8D26FA610921}">
  <cacheSource type="external" connectionId="2"/>
  <cacheFields count="2">
    <cacheField name="[Measures].[Sum of Lucro]" caption="Sum of Lucro" numFmtId="0" hierarchy="63"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0555558" backgroundQuery="1" createdVersion="8" refreshedVersion="8" minRefreshableVersion="3" recordCount="0" supportSubquery="1" supportAdvancedDrill="1" xr:uid="{EAEC52B2-40BE-409B-ACC3-34802220047C}">
  <cacheSource type="external" connectionId="2"/>
  <cacheFields count="2">
    <cacheField name="[Measures].[Margem %]" caption="Margem %" numFmtId="0" hierarchy="38"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oneField="1">
      <fieldsUsage count="1">
        <fieldUsage x="0"/>
      </fieldsUsage>
    </cacheHierarchy>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1134258" backgroundQuery="1" createdVersion="8" refreshedVersion="8" minRefreshableVersion="3" recordCount="0" supportSubquery="1" supportAdvancedDrill="1" xr:uid="{C1BC2091-3479-4B66-A7A7-748792611D92}">
  <cacheSource type="external" connectionId="2"/>
  <cacheFields count="7">
    <cacheField name="[Measures].[Total Valor]" caption="Total Valor" numFmtId="0" hierarchy="32" level="32767"/>
    <cacheField name="[Dim_Produtos].[Categoria].[Categoria]" caption="Categoria" numFmtId="0" hierarchy="19" level="1">
      <sharedItems count="5">
        <s v="Electronics Plus"/>
        <s v="Home Essentials"/>
        <s v="Kitchen Pro"/>
        <s v="Outdoor Gear"/>
        <s v="Smart Living"/>
      </sharedItems>
    </cacheField>
    <cacheField name="[Measures].[Margem %]" caption="Margem %" numFmtId="0" hierarchy="38" level="32767"/>
    <cacheField name="[F_Vendas_Cliente].[Flag_Valor_Neg].[Flag_Valor_Neg]" caption="Flag_Valor_Neg" numFmtId="0" hierarchy="28" level="1">
      <sharedItems containsSemiMixedTypes="0" containsNonDate="0" containsString="0"/>
    </cacheField>
    <cacheField name="[Dim_Produtos].[Designação].[Designação]" caption="Designação" numFmtId="0" hierarchy="16" level="1">
      <sharedItems count="27">
        <s v="Attr_1"/>
        <s v="Attr_100"/>
        <s v="Attr_11"/>
        <s v="Attr_18"/>
        <s v="Attr_3"/>
        <s v="Attr_30"/>
        <s v="Attr_31"/>
        <s v="Attr_36"/>
        <s v="Attr_37"/>
        <s v="Attr_42"/>
        <s v="Attr_45"/>
        <s v="Attr_52"/>
        <s v="Attr_54"/>
        <s v="Attr_58"/>
        <s v="Attr_6"/>
        <s v="Attr_61"/>
        <s v="Attr_62"/>
        <s v="Attr_63"/>
        <s v="Attr_65"/>
        <s v="Attr_67"/>
        <s v="Attr_68"/>
        <s v="Attr_84"/>
        <s v="Attr_86"/>
        <s v="Attr_87"/>
        <s v="Attr_89"/>
        <s v="Attr_9"/>
        <s v="Attr_94"/>
      </sharedItems>
    </cacheField>
    <cacheField name="[Measures].[Total Lucro]" caption="Total Lucro" numFmtId="0" hierarchy="33"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4"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2" memberValueDatatype="130" unbalanced="0">
      <fieldsUsage count="2">
        <fieldUsage x="-1"/>
        <fieldUsage x="4"/>
      </fieldsUsage>
    </cacheHierarchy>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fieldsUsage count="2">
        <fieldUsage x="-1"/>
        <fieldUsage x="1"/>
      </fieldsUsage>
    </cacheHierarchy>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6"/>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2" memberValueDatatype="20" unbalanced="0">
      <fieldsUsage count="2">
        <fieldUsage x="-1"/>
        <fieldUsage x="3"/>
      </fieldsUsage>
    </cacheHierarchy>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oneField="1">
      <fieldsUsage count="1">
        <fieldUsage x="0"/>
      </fieldsUsage>
    </cacheHierarchy>
    <cacheHierarchy uniqueName="[Measures].[Total Lucro]" caption="Total Lucro" measure="1" displayFolder="" measureGroup="F_Vendas_Cliente" count="0" oneField="1">
      <fieldsUsage count="1">
        <fieldUsage x="5"/>
      </fieldsUsage>
    </cacheHierarchy>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oneField="1">
      <fieldsUsage count="1">
        <fieldUsage x="2"/>
      </fieldsUsage>
    </cacheHierarchy>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1712966" backgroundQuery="1" createdVersion="8" refreshedVersion="8" minRefreshableVersion="3" recordCount="0" supportSubquery="1" supportAdvancedDrill="1" xr:uid="{6D52E2C8-378C-42DC-8A5C-8F039C3C8CF5}">
  <cacheSource type="external" connectionId="2"/>
  <cacheFields count="6">
    <cacheField name="[Dim_Calendar].[Month].[Month]" caption="Month" numFmtId="0" hierarchy="4" level="1">
      <sharedItems count="12">
        <s v="березень"/>
        <s v="вересень"/>
        <s v="грудень"/>
        <s v="жовтень"/>
        <s v="квітень"/>
        <s v="липень"/>
        <s v="листопад"/>
        <s v="лютий"/>
        <s v="серпень"/>
        <s v="січень"/>
        <s v="травень"/>
        <s v="червень"/>
      </sharedItems>
    </cacheField>
    <cacheField name="[F_Vendas_Cliente].[ID_Produto].[ID_Produto]" caption="ID_Produto" numFmtId="0" hierarchy="21" level="1">
      <sharedItems containsSemiMixedTypes="0" containsNonDate="0" containsString="0"/>
    </cacheField>
    <cacheField name="[Dim_Produtos].[Sub-Categoria].[Sub-Categoria]" caption="Sub-Categoria" numFmtId="0" hierarchy="17" level="1">
      <sharedItems containsSemiMixedTypes="0" containsNonDate="0" containsString="0"/>
    </cacheField>
    <cacheField name="[Measures].[Total Valor]" caption="Total Valor" numFmtId="0" hierarchy="32" level="32767"/>
    <cacheField name="[Measures].[Margem %]" caption="Margem %" numFmtId="0" hierarchy="38"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2" memberValueDatatype="7" unbalanced="0"/>
    <cacheHierarchy uniqueName="[Dim_Calendar].[Date Hierarchy]" caption="Date Hierarchy" time="1" defaultMemberUniqueName="[Dim_Calendar].[Date Hierarchy].[All]" allUniqueName="[Dim_Calendar].[Date Hierarchy].[All]" dimensionUniqueName="[Dim_Calendar]" displayFolder="" count="4"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2" memberValueDatatype="130" unbalanced="0">
      <fieldsUsage count="2">
        <fieldUsage x="-1"/>
        <fieldUsage x="0"/>
      </fieldsUsage>
    </cacheHierarchy>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2" memberValueDatatype="130" unbalanced="0">
      <fieldsUsage count="2">
        <fieldUsage x="-1"/>
        <fieldUsage x="2"/>
      </fieldsUsage>
    </cacheHierarchy>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5"/>
      </fieldsUsage>
    </cacheHierarchy>
    <cacheHierarchy uniqueName="[F_Vendas_Cliente].[ID_Produto]" caption="ID_Produto" attribute="1" defaultMemberUniqueName="[F_Vendas_Cliente].[ID_Produto].[All]" allUniqueName="[F_Vendas_Cliente].[ID_Produto].[All]" dimensionUniqueName="[F_Vendas_Cliente]" displayFolder="" count="2" memberValueDatatype="20" unbalanced="0">
      <fieldsUsage count="2">
        <fieldUsage x="-1"/>
        <fieldUsage x="1"/>
      </fieldsUsage>
    </cacheHierarchy>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oneField="1">
      <fieldsUsage count="1">
        <fieldUsage x="3"/>
      </fieldsUsage>
    </cacheHierarchy>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oneField="1">
      <fieldsUsage count="1">
        <fieldUsage x="4"/>
      </fieldsUsage>
    </cacheHierarchy>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2175928" backgroundQuery="1" createdVersion="8" refreshedVersion="8" minRefreshableVersion="3" recordCount="0" supportSubquery="1" supportAdvancedDrill="1" xr:uid="{1A5BD4DC-2E9F-4372-8244-E409EEF0E27E}">
  <cacheSource type="external" connectionId="2"/>
  <cacheFields count="2">
    <cacheField name="[Measures].[Return Rate (€) %]" caption="Return Rate (€) %" numFmtId="0" hierarchy="53"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oneField="1">
      <fieldsUsage count="1">
        <fieldUsage x="0"/>
      </fieldsUsage>
    </cacheHierarchy>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2407405" backgroundQuery="1" createdVersion="8" refreshedVersion="8" minRefreshableVersion="3" recordCount="0" supportSubquery="1" supportAdvancedDrill="1" xr:uid="{BB0D7755-6A88-4FF5-9D5A-413348B6EFF0}">
  <cacheSource type="external" connectionId="2"/>
  <cacheFields count="2">
    <cacheField name="[Measures].[YoY % (2025 vs 2024)]" caption="YoY % (2025 vs 2024)" numFmtId="0" hierarchy="42"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0"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oneField="1">
      <fieldsUsage count="1">
        <fieldUsage x="0"/>
      </fieldsUsage>
    </cacheHierarchy>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263889" backgroundQuery="1" createdVersion="8" refreshedVersion="8" minRefreshableVersion="3" recordCount="0" supportSubquery="1" supportAdvancedDrill="1" xr:uid="{D87A02D2-4608-440D-A889-66750B9D883E}">
  <cacheSource type="external" connectionId="2"/>
  <cacheFields count="2">
    <cacheField name="[Measures].[Total Valor]" caption="Total Valor" numFmtId="0" hierarchy="32"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oneField="1">
      <fieldsUsage count="1">
        <fieldUsage x="0"/>
      </fieldsUsage>
    </cacheHierarchy>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2870367" backgroundQuery="1" createdVersion="8" refreshedVersion="8" minRefreshableVersion="3" recordCount="0" supportSubquery="1" supportAdvancedDrill="1" xr:uid="{2ED35A98-442A-43FB-8B60-D6DA65E18036}">
  <cacheSource type="external" connectionId="2"/>
  <cacheFields count="2">
    <cacheField name="[Measures].[Return Impact]" caption="Return Impact" numFmtId="0" hierarchy="52"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oneField="1">
      <fieldsUsage count="1">
        <fieldUsage x="0"/>
      </fieldsUsage>
    </cacheHierarchy>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3101852" backgroundQuery="1" createdVersion="8" refreshedVersion="8" minRefreshableVersion="3" recordCount="0" supportSubquery="1" supportAdvancedDrill="1" xr:uid="{40660E0F-7165-4A0F-85C6-9861166C18A6}">
  <cacheSource type="external" connectionId="2"/>
  <cacheFields count="2">
    <cacheField name="[Measures].[Top Products Share]" caption="Top Products Share" numFmtId="0" hierarchy="56"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oneField="1">
      <fieldsUsage count="1">
        <fieldUsage x="0"/>
      </fieldsUsage>
    </cacheHierarchy>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539383333336" backgroundQuery="1" createdVersion="8" refreshedVersion="8" minRefreshableVersion="3" recordCount="0" supportSubquery="1" supportAdvancedDrill="1" xr:uid="{78D9B582-251F-418A-BF7C-4C0E895BE66D}">
  <cacheSource type="external" connectionId="2"/>
  <cacheFields count="2">
    <cacheField name="[Measures].[Growth]" caption="Growth" numFmtId="0" hierarchy="51" level="32767"/>
    <cacheField name="[Dim_Produtos].[Gama Permanente].[Gama Permanente]" caption="Gama Permanente" numFmtId="0" hierarchy="20" level="1">
      <sharedItems containsSemiMixedTypes="0" containsNonDate="0" containsString="0"/>
    </cacheField>
  </cacheFields>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fieldsUsage count="2">
        <fieldUsage x="-1"/>
        <fieldUsage x="1"/>
      </fieldsUsage>
    </cacheHierarchy>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oneField="1">
      <fieldsUsage count="1">
        <fieldUsage x="0"/>
      </fieldsUsage>
    </cacheHierarchy>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dimensions count="6">
    <dimension name="Dim_Calendar" uniqueName="[Dim_Calendar]" caption="Dim_Calendar"/>
    <dimension name="Dim_Clientes" uniqueName="[Dim_Clientes]" caption="Dim_Clientes"/>
    <dimension name="Dim_Gestor" uniqueName="[Dim_Gestor]" caption="Dim_Gestor"/>
    <dimension name="Dim_Produtos" uniqueName="[Dim_Produtos]" caption="Dim_Produtos"/>
    <dimension name="F_Vendas_Cliente" uniqueName="[F_Vendas_Cliente]" caption="F_Vendas_Cliente"/>
    <dimension measure="1" name="Measures" uniqueName="[Measures]" caption="Measures"/>
  </dimensions>
  <measureGroups count="5">
    <measureGroup name="Dim_Calendar" caption="Dim_Calendar"/>
    <measureGroup name="Dim_Clientes" caption="Dim_Clientes"/>
    <measureGroup name="Dim_Gestor" caption="Dim_Gestor"/>
    <measureGroup name="Dim_Produtos" caption="Dim_Produtos"/>
    <measureGroup name="F_Vendas_Cliente" caption="F_Vendas_Cliente"/>
  </measureGroups>
  <maps count="9">
    <map measureGroup="0" dimension="0"/>
    <map measureGroup="1" dimension="1"/>
    <map measureGroup="2"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455392245371" backgroundQuery="1" createdVersion="3" refreshedVersion="8" minRefreshableVersion="3" recordCount="0" supportSubquery="1" supportAdvancedDrill="1" xr:uid="{9A8A924D-AAF7-455F-9890-7AFC2DF63E57}">
  <cacheSource type="external" connectionId="2">
    <extLst>
      <ext xmlns:x14="http://schemas.microsoft.com/office/spreadsheetml/2009/9/main" uri="{F057638F-6D5F-4e77-A914-E7F072B9BCA8}">
        <x14:sourceConnection name="ThisWorkbookDataModel"/>
      </ext>
    </extLst>
  </cacheSource>
  <cacheFields count="0"/>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2" memberValueDatatype="130" unbalanced="0"/>
    <cacheHierarchy uniqueName="[Dim_Produtos].[Gama Permanente]" caption="Gama Permanente" attribute="1" defaultMemberUniqueName="[Dim_Produtos].[Gama Permanente].[All]" allUniqueName="[Dim_Produtos].[Gama Permanente].[All]" dimensionUniqueName="[Dim_Produtos]" displayFolder="" count="2" memberValueDatatype="130" unbalanced="0"/>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0"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527010705"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A Tania" refreshedDate="46112.455392824071" backgroundQuery="1" createdVersion="3" refreshedVersion="8" minRefreshableVersion="3" recordCount="0" supportSubquery="1" supportAdvancedDrill="1" xr:uid="{54F33E6C-9C0C-4BDD-9468-A8CAA3BC92CD}">
  <cacheSource type="external" connectionId="2">
    <extLst>
      <ext xmlns:x14="http://schemas.microsoft.com/office/spreadsheetml/2009/9/main" uri="{F057638F-6D5F-4e77-A914-E7F072B9BCA8}">
        <x14:sourceConnection name="ThisWorkbookDataModel"/>
      </ext>
    </extLst>
  </cacheSource>
  <cacheFields count="0"/>
  <cacheHierarchies count="67">
    <cacheHierarchy uniqueName="[Dim_Calendar].[Date]" caption="Date" attribute="1" time="1" keyAttribute="1" defaultMemberUniqueName="[Dim_Calendar].[Date].[All]" allUniqueName="[Dim_Calendar].[Date].[All]" dimensionUniqueName="[Dim_Calendar]" displayFolder="" count="0" memberValueDatatype="7" unbalanced="0"/>
    <cacheHierarchy uniqueName="[Dim_Calendar].[Date Hierarchy]" caption="Date Hierarchy" time="1" defaultMemberUniqueName="[Dim_Calendar].[Date Hierarchy].[All]" allUniqueName="[Dim_Calendar].[Date Hierarchy].[All]" dimensionUniqueName="[Dim_Calendar]" displayFolder="" count="0" unbalanced="0"/>
    <cacheHierarchy uniqueName="[Dim_Calendar].[Year]" caption="Year" attribute="1" time="1" defaultMemberUniqueName="[Dim_Calendar].[Year].[All]" allUniqueName="[Dim_Calendar].[Year].[All]" dimensionUniqueName="[Dim_Calendar]" displayFolder="" count="0" memberValueDatatype="20" unbalanced="0"/>
    <cacheHierarchy uniqueName="[Dim_Calendar].[Month Number]" caption="Month Number" attribute="1" time="1" defaultMemberUniqueName="[Dim_Calendar].[Month Number].[All]" allUniqueName="[Dim_Calendar].[Month Number].[All]" dimensionUniqueName="[Dim_Calendar]" displayFolder="" count="0" memberValueDatatype="20" unbalanced="0"/>
    <cacheHierarchy uniqueName="[Dim_Calendar].[Month]" caption="Month" attribute="1" time="1" defaultMemberUniqueName="[Dim_Calendar].[Month].[All]" allUniqueName="[Dim_Calendar].[Month].[All]" dimensionUniqueName="[Dim_Calendar]" displayFolder="" count="0" memberValueDatatype="130" unbalanced="0"/>
    <cacheHierarchy uniqueName="[Dim_Calendar].[MMM-YYYY]" caption="MMM-YYYY" attribute="1" time="1" defaultMemberUniqueName="[Dim_Calendar].[MMM-YYYY].[All]" allUniqueName="[Dim_Calendar].[MMM-YYYY].[All]" dimensionUniqueName="[Dim_Calendar]" displayFolder="" count="0" memberValueDatatype="130" unbalanced="0"/>
    <cacheHierarchy uniqueName="[Dim_Calendar].[Day Of Week Number]" caption="Day Of Week Number" attribute="1" time="1" defaultMemberUniqueName="[Dim_Calendar].[Day Of Week Number].[All]" allUniqueName="[Dim_Calendar].[Day Of Week Number].[All]" dimensionUniqueName="[Dim_Calendar]" displayFolder="" count="0" memberValueDatatype="20" unbalanced="0"/>
    <cacheHierarchy uniqueName="[Dim_Calendar].[Day Of Week]" caption="Day Of Week" attribute="1" time="1" defaultMemberUniqueName="[Dim_Calendar].[Day Of Week].[All]" allUniqueName="[Dim_Calendar].[Day Of Week].[All]" dimensionUniqueName="[Dim_Calendar]" displayFolder="" count="0" memberValueDatatype="130" unbalanced="0"/>
    <cacheHierarchy uniqueName="[Dim_Clientes].[ID_Client]" caption="ID_Client" attribute="1" defaultMemberUniqueName="[Dim_Clientes].[ID_Client].[All]" allUniqueName="[Dim_Clientes].[ID_Client].[All]" dimensionUniqueName="[Dim_Clientes]" displayFolder="" count="0" memberValueDatatype="20" unbalanced="0"/>
    <cacheHierarchy uniqueName="[Dim_Clientes].[Cliente_Curto]" caption="Cliente_Curto" attribute="1" defaultMemberUniqueName="[Dim_Clientes].[Cliente_Curto].[All]" allUniqueName="[Dim_Clientes].[Cliente_Curto].[All]" dimensionUniqueName="[Dim_Clientes]" displayFolder="" count="0" memberValueDatatype="130" unbalanced="0"/>
    <cacheHierarchy uniqueName="[Dim_Clientes].[Cliente_Completo]" caption="Cliente_Completo" attribute="1" defaultMemberUniqueName="[Dim_Clientes].[Cliente_Completo].[All]" allUniqueName="[Dim_Clientes].[Cliente_Completo].[All]" dimensionUniqueName="[Dim_Clientes]" displayFolder="" count="0" memberValueDatatype="130" unbalanced="0"/>
    <cacheHierarchy uniqueName="[Dim_Clientes].[País]" caption="País" attribute="1" defaultMemberUniqueName="[Dim_Clientes].[País].[All]" allUniqueName="[Dim_Clientes].[País].[All]" dimensionUniqueName="[Dim_Clientes]" displayFolder="" count="0" memberValueDatatype="130" unbalanced="0"/>
    <cacheHierarchy uniqueName="[Dim_Clientes].[Tipo]" caption="Tipo" attribute="1" defaultMemberUniqueName="[Dim_Clientes].[Tipo].[All]" allUniqueName="[Dim_Clientes].[Tipo].[All]" dimensionUniqueName="[Dim_Clientes]" displayFolder="" count="0" memberValueDatatype="130" unbalanced="0"/>
    <cacheHierarchy uniqueName="[Dim_Gestor].[ID_Gestor]" caption="ID_Gestor" attribute="1" defaultMemberUniqueName="[Dim_Gestor].[ID_Gestor].[All]" allUniqueName="[Dim_Gestor].[ID_Gestor].[All]" dimensionUniqueName="[Dim_Gestor]" displayFolder="" count="0" memberValueDatatype="20" unbalanced="0"/>
    <cacheHierarchy uniqueName="[Dim_Gestor].[Gestor]" caption="Gestor" attribute="1" defaultMemberUniqueName="[Dim_Gestor].[Gestor].[All]" allUniqueName="[Dim_Gestor].[Gestor].[All]" dimensionUniqueName="[Dim_Gestor]" displayFolder="" count="0" memberValueDatatype="130" unbalanced="0"/>
    <cacheHierarchy uniqueName="[Dim_Produtos].[ID_Produto]" caption="ID_Produto" attribute="1" defaultMemberUniqueName="[Dim_Produtos].[ID_Produto].[All]" allUniqueName="[Dim_Produtos].[ID_Produto].[All]" dimensionUniqueName="[Dim_Produtos]" displayFolder="" count="0" memberValueDatatype="20" unbalanced="0"/>
    <cacheHierarchy uniqueName="[Dim_Produtos].[Designação]" caption="Designação" attribute="1" defaultMemberUniqueName="[Dim_Produtos].[Designação].[All]" allUniqueName="[Dim_Produtos].[Designação].[All]" dimensionUniqueName="[Dim_Produtos]" displayFolder="" count="0" memberValueDatatype="130" unbalanced="0"/>
    <cacheHierarchy uniqueName="[Dim_Produtos].[Sub-Categoria]" caption="Sub-Categoria" attribute="1" defaultMemberUniqueName="[Dim_Produtos].[Sub-Categoria].[All]" allUniqueName="[Dim_Produtos].[Sub-Categoria].[All]" dimensionUniqueName="[Dim_Produtos]" displayFolder="" count="0" memberValueDatatype="130" unbalanced="0"/>
    <cacheHierarchy uniqueName="[Dim_Produtos].[Área]" caption="Área" attribute="1" defaultMemberUniqueName="[Dim_Produtos].[Área].[All]" allUniqueName="[Dim_Produtos].[Área].[All]" dimensionUniqueName="[Dim_Produtos]" displayFolder="" count="0" memberValueDatatype="130" unbalanced="0"/>
    <cacheHierarchy uniqueName="[Dim_Produtos].[Categoria]" caption="Categoria" attribute="1" defaultMemberUniqueName="[Dim_Produtos].[Categoria].[All]" allUniqueName="[Dim_Produtos].[Categoria].[All]" dimensionUniqueName="[Dim_Produtos]" displayFolder="" count="0" memberValueDatatype="130" unbalanced="0"/>
    <cacheHierarchy uniqueName="[Dim_Produtos].[Gama Permanente]" caption="Gama Permanente" attribute="1" defaultMemberUniqueName="[Dim_Produtos].[Gama Permanente].[All]" allUniqueName="[Dim_Produtos].[Gama Permanente].[All]" dimensionUniqueName="[Dim_Produtos]" displayFolder="" count="0" memberValueDatatype="130" unbalanced="0"/>
    <cacheHierarchy uniqueName="[F_Vendas_Cliente].[ID_Produto]" caption="ID_Produto" attribute="1" defaultMemberUniqueName="[F_Vendas_Cliente].[ID_Produto].[All]" allUniqueName="[F_Vendas_Cliente].[ID_Produto].[All]" dimensionUniqueName="[F_Vendas_Cliente]" displayFolder="" count="0" memberValueDatatype="20" unbalanced="0"/>
    <cacheHierarchy uniqueName="[F_Vendas_Cliente].[ID_Gestor]" caption="ID_Gestor" attribute="1" defaultMemberUniqueName="[F_Vendas_Cliente].[ID_Gestor].[All]" allUniqueName="[F_Vendas_Cliente].[ID_Gestor].[All]" dimensionUniqueName="[F_Vendas_Cliente]" displayFolder="" count="0" memberValueDatatype="20" unbalanced="0"/>
    <cacheHierarchy uniqueName="[F_Vendas_Cliente].[Qtd]" caption="Qtd" attribute="1" defaultMemberUniqueName="[F_Vendas_Cliente].[Qtd].[All]" allUniqueName="[F_Vendas_Cliente].[Qtd].[All]" dimensionUniqueName="[F_Vendas_Cliente]" displayFolder="" count="0" memberValueDatatype="20" unbalanced="0"/>
    <cacheHierarchy uniqueName="[F_Vendas_Cliente].[Valor]" caption="Valor" attribute="1" defaultMemberUniqueName="[F_Vendas_Cliente].[Valor].[All]" allUniqueName="[F_Vendas_Cliente].[Valor].[All]" dimensionUniqueName="[F_Vendas_Cliente]" displayFolder="" count="0" memberValueDatatype="5" unbalanced="0"/>
    <cacheHierarchy uniqueName="[F_Vendas_Cliente].[Lucro]" caption="Lucro" attribute="1" defaultMemberUniqueName="[F_Vendas_Cliente].[Lucro].[All]" allUniqueName="[F_Vendas_Cliente].[Lucro].[All]" dimensionUniqueName="[F_Vendas_Cliente]" displayFolder="" count="0" memberValueDatatype="5" unbalanced="0"/>
    <cacheHierarchy uniqueName="[F_Vendas_Cliente].[Data]" caption="Data" attribute="1" time="1" defaultMemberUniqueName="[F_Vendas_Cliente].[Data].[All]" allUniqueName="[F_Vendas_Cliente].[Data].[All]" dimensionUniqueName="[F_Vendas_Cliente]" displayFolder="" count="2" memberValueDatatype="7" unbalanced="0"/>
    <cacheHierarchy uniqueName="[F_Vendas_Cliente].[Flag_Qtd_Neg]" caption="Flag_Qtd_Neg" attribute="1" defaultMemberUniqueName="[F_Vendas_Cliente].[Flag_Qtd_Neg].[All]" allUniqueName="[F_Vendas_Cliente].[Flag_Qtd_Neg].[All]" dimensionUniqueName="[F_Vendas_Cliente]" displayFolder="" count="0" memberValueDatatype="20" unbalanced="0"/>
    <cacheHierarchy uniqueName="[F_Vendas_Cliente].[Flag_Valor_Neg]" caption="Flag_Valor_Neg" attribute="1" defaultMemberUniqueName="[F_Vendas_Cliente].[Flag_Valor_Neg].[All]" allUniqueName="[F_Vendas_Cliente].[Flag_Valor_Neg].[All]" dimensionUniqueName="[F_Vendas_Cliente]" displayFolder="" count="0" memberValueDatatype="20" unbalanced="0"/>
    <cacheHierarchy uniqueName="[F_Vendas_Cliente].[Flag_Zero_Row]" caption="Flag_Zero_Row" attribute="1" defaultMemberUniqueName="[F_Vendas_Cliente].[Flag_Zero_Row].[All]" allUniqueName="[F_Vendas_Cliente].[Flag_Zero_Row].[All]" dimensionUniqueName="[F_Vendas_Cliente]" displayFolder="" count="0" memberValueDatatype="20" unbalanced="0"/>
    <cacheHierarchy uniqueName="[F_Vendas_Cliente].[Tipo_Movimento]" caption="Tipo_Movimento" attribute="1" defaultMemberUniqueName="[F_Vendas_Cliente].[Tipo_Movimento].[All]" allUniqueName="[F_Vendas_Cliente].[Tipo_Movimento].[All]" dimensionUniqueName="[F_Vendas_Cliente]" displayFolder="" count="0" memberValueDatatype="130" unbalanced="0"/>
    <cacheHierarchy uniqueName="[F_Vendas_Cliente].[ID_Client]" caption="ID_Client" attribute="1" defaultMemberUniqueName="[F_Vendas_Cliente].[ID_Client].[All]" allUniqueName="[F_Vendas_Cliente].[ID_Client].[All]" dimensionUniqueName="[F_Vendas_Cliente]" displayFolder="" count="0" memberValueDatatype="20" unbalanced="0"/>
    <cacheHierarchy uniqueName="[Measures].[Total Valor]" caption="Total Valor" measure="1" displayFolder="" measureGroup="F_Vendas_Cliente" count="0"/>
    <cacheHierarchy uniqueName="[Measures].[Total Lucro]" caption="Total Lucro" measure="1" displayFolder="" measureGroup="F_Vendas_Cliente" count="0"/>
    <cacheHierarchy uniqueName="[Measures].[Total_Qtd_Net]" caption="Total_Qtd_Net" measure="1" displayFolder="" measureGroup="F_Vendas_Cliente" count="0"/>
    <cacheHierarchy uniqueName="[Measures].[Total Qtd Venda]" caption="Total Qtd Venda" measure="1" displayFolder="" measureGroup="F_Vendas_Cliente" count="0"/>
    <cacheHierarchy uniqueName="[Measures].[Total Qtd Devolucao]" caption="Total Qtd Devolucao" measure="1" displayFolder="" measureGroup="F_Vendas_Cliente" count="0"/>
    <cacheHierarchy uniqueName="[Measures].[Taxa Devolucao Qtd %]" caption="Taxa Devolucao Qtd %" measure="1" displayFolder="" measureGroup="F_Vendas_Cliente" count="0"/>
    <cacheHierarchy uniqueName="[Measures].[Margem %]" caption="Margem %" measure="1" displayFolder="" measureGroup="F_Vendas_Cliente" count="0"/>
    <cacheHierarchy uniqueName="[Measures].[Check Rows]" caption="Check Rows" measure="1" displayFolder="" measureGroup="F_Vendas_Cliente" count="0"/>
    <cacheHierarchy uniqueName="[Measures].[Valor 2025]" caption="Valor 2025" measure="1" displayFolder="" measureGroup="F_Vendas_Cliente" count="0"/>
    <cacheHierarchy uniqueName="[Measures].[Valor 2024]" caption="Valor 2024" measure="1" displayFolder="" measureGroup="F_Vendas_Cliente" count="0"/>
    <cacheHierarchy uniqueName="[Measures].[YoY % (2025 vs 2024)]" caption="YoY % (2025 vs 2024)" measure="1" displayFolder="" measureGroup="F_Vendas_Cliente" count="0"/>
    <cacheHierarchy uniqueName="[Measures].[Produtos Ativos]" caption="Produtos Ativos" measure="1" displayFolder="" measureGroup="F_Vendas_Cliente" count="0"/>
    <cacheHierarchy uniqueName="[Measures].[Taxa Devolução]" caption="Taxa Devolução" measure="1" displayFolder="" measureGroup="F_Vendas_Cliente" count="0"/>
    <cacheHierarchy uniqueName="[Measures].[% Revenue]" caption="% Revenue" measure="1" displayFolder="" measureGroup="F_Vendas_Cliente" count="0"/>
    <cacheHierarchy uniqueName="[Measures].[% Profit]" caption="% Profit" measure="1" displayFolder="" measureGroup="F_Vendas_Cliente" count="0"/>
    <cacheHierarchy uniqueName="[Measures].[Total Valor (All Products)]" caption="Total Valor (All Products)" measure="1" displayFolder="" measureGroup="F_Vendas_Cliente" count="0"/>
    <cacheHierarchy uniqueName="[Measures].[Total Lucro (All Products)]" caption="Total Lucro (All Products)" measure="1" displayFolder="" measureGroup="F_Vendas_Cliente" count="0"/>
    <cacheHierarchy uniqueName="[Measures].[Lucro 2025]" caption="Lucro 2025" measure="1" displayFolder="" measureGroup="F_Vendas_Cliente" count="0"/>
    <cacheHierarchy uniqueName="[Measures].[Lucro 2024]" caption="Lucro 2024" measure="1" displayFolder="" measureGroup="F_Vendas_Cliente" count="0"/>
    <cacheHierarchy uniqueName="[Measures].[Growth]" caption="Growth" measure="1" displayFolder="" measureGroup="F_Vendas_Cliente" count="0"/>
    <cacheHierarchy uniqueName="[Measures].[Return Impact]" caption="Return Impact" measure="1" displayFolder="" measureGroup="F_Vendas_Cliente" count="0"/>
    <cacheHierarchy uniqueName="[Measures].[Return Rate (€) %]" caption="Return Rate (€) %" measure="1" displayFolder="" measureGroup="F_Vendas_Cliente" count="0"/>
    <cacheHierarchy uniqueName="[Measures].[Sales Value (Gross)]" caption="Sales Value (Gross)" measure="1" displayFolder="" measureGroup="F_Vendas_Cliente" count="0"/>
    <cacheHierarchy uniqueName="[Measures].[Top 10 Revenue]" caption="Top 10 Revenue" measure="1" displayFolder="" measureGroup="F_Vendas_Cliente" count="0"/>
    <cacheHierarchy uniqueName="[Measures].[Top Products Share]" caption="Top Products Share" measure="1" displayFolder="" measureGroup="F_Vendas_Cliente" count="0"/>
    <cacheHierarchy uniqueName="[Measures].[__XL_Count Dim_Produtos]" caption="__XL_Count Dim_Produtos" measure="1" displayFolder="" measureGroup="Dim_Produtos" count="0" hidden="1"/>
    <cacheHierarchy uniqueName="[Measures].[__XL_Count Dim_Clientes]" caption="__XL_Count Dim_Clientes" measure="1" displayFolder="" measureGroup="Dim_Clientes" count="0" hidden="1"/>
    <cacheHierarchy uniqueName="[Measures].[__XL_Count Dim_Gestor]" caption="__XL_Count Dim_Gestor" measure="1" displayFolder="" measureGroup="Dim_Gestor" count="0" hidden="1"/>
    <cacheHierarchy uniqueName="[Measures].[__XL_Count F_Vendas_Cliente]" caption="__XL_Count F_Vendas_Cliente" measure="1" displayFolder="" measureGroup="F_Vendas_Cliente" count="0" hidden="1"/>
    <cacheHierarchy uniqueName="[Measures].[__XL_Count Calendar]" caption="__XL_Count Calendar" measure="1" displayFolder="" measureGroup="Dim_Calendar" count="0" hidden="1"/>
    <cacheHierarchy uniqueName="[Measures].[__No measures defined]" caption="__No measures defined" measure="1" displayFolder="" count="0" hidden="1"/>
    <cacheHierarchy uniqueName="[Measures].[Sum of Lucro]" caption="Sum of Lucro" measure="1" displayFolder="" measureGroup="F_Vendas_Cliente" count="0" hidden="1">
      <extLst>
        <ext xmlns:x15="http://schemas.microsoft.com/office/spreadsheetml/2010/11/main" uri="{B97F6D7D-B522-45F9-BDA1-12C45D357490}">
          <x15:cacheHierarchy aggregatedColumn="25"/>
        </ext>
      </extLst>
    </cacheHierarchy>
    <cacheHierarchy uniqueName="[Measures].[Sum of Valor]" caption="Sum of Valor" measure="1" displayFolder="" measureGroup="F_Vendas_Cliente" count="0" hidden="1">
      <extLst>
        <ext xmlns:x15="http://schemas.microsoft.com/office/spreadsheetml/2010/11/main" uri="{B97F6D7D-B522-45F9-BDA1-12C45D357490}">
          <x15:cacheHierarchy aggregatedColumn="24"/>
        </ext>
      </extLst>
    </cacheHierarchy>
    <cacheHierarchy uniqueName="[Measures].[Count of País]" caption="Count of País" measure="1" displayFolder="" measureGroup="Dim_Clientes" count="0" hidden="1">
      <extLst>
        <ext xmlns:x15="http://schemas.microsoft.com/office/spreadsheetml/2010/11/main" uri="{B97F6D7D-B522-45F9-BDA1-12C45D357490}">
          <x15:cacheHierarchy aggregatedColumn="11"/>
        </ext>
      </extLst>
    </cacheHierarchy>
    <cacheHierarchy uniqueName="[Measures].[Count of Cliente_Curto]" caption="Count of Cliente_Curto" measure="1" displayFolder="" measureGroup="Dim_Clientes"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pivotCacheId="100374668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Attr_1"/>
    <x v="0"/>
    <n v="487.44"/>
    <n v="0.16026197427601988"/>
    <x v="0"/>
  </r>
  <r>
    <s v="Attr_100"/>
    <x v="1"/>
    <n v="13581.25"/>
    <n v="0.36436744604075283"/>
    <x v="1"/>
  </r>
  <r>
    <s v="Attr_11"/>
    <x v="2"/>
    <n v="3753.26"/>
    <n v="0.28094819623242606"/>
    <x v="0"/>
  </r>
  <r>
    <s v="Attr_18"/>
    <x v="3"/>
    <n v="2464.58"/>
    <n v="0.26607863882711114"/>
    <x v="0"/>
  </r>
  <r>
    <s v="Attr_3"/>
    <x v="4"/>
    <n v="1929.55"/>
    <n v="0.39546685194408066"/>
    <x v="2"/>
  </r>
  <r>
    <s v="Attr_30"/>
    <x v="5"/>
    <n v="738.22"/>
    <n v="0.29424050380644906"/>
    <x v="0"/>
  </r>
  <r>
    <s v="Attr_31"/>
    <x v="6"/>
    <n v="2045.47"/>
    <n v="0.27267806985620036"/>
    <x v="0"/>
  </r>
  <r>
    <s v="Attr_36"/>
    <x v="7"/>
    <n v="12805.14"/>
    <n v="0.36671664039108376"/>
    <x v="1"/>
  </r>
  <r>
    <s v="Attr_37"/>
    <x v="8"/>
    <n v="7542.17"/>
    <n v="0.2674534059292325"/>
    <x v="3"/>
  </r>
  <r>
    <s v="Attr_42"/>
    <x v="9"/>
    <n v="2033.28"/>
    <n v="0.50177187700508363"/>
    <x v="2"/>
  </r>
  <r>
    <s v="Attr_45"/>
    <x v="10"/>
    <n v="2286.7600000000002"/>
    <n v="0.25731807491926323"/>
    <x v="0"/>
  </r>
  <r>
    <s v="Attr_52"/>
    <x v="11"/>
    <n v="19587.21"/>
    <n v="0.36457430027221327"/>
    <x v="1"/>
  </r>
  <r>
    <s v="Attr_54"/>
    <x v="12"/>
    <n v="5183.8"/>
    <n v="0.31016351225863276"/>
    <x v="0"/>
  </r>
  <r>
    <s v="Attr_58"/>
    <x v="13"/>
    <n v="11556.48"/>
    <n v="0.35497955174174189"/>
    <x v="1"/>
  </r>
  <r>
    <s v="Attr_6"/>
    <x v="14"/>
    <n v="14889.55"/>
    <n v="0.2811684346130503"/>
    <x v="3"/>
  </r>
  <r>
    <s v="Attr_61"/>
    <x v="15"/>
    <n v="4150.53"/>
    <n v="0.28925993062829686"/>
    <x v="0"/>
  </r>
  <r>
    <s v="Attr_62"/>
    <x v="16"/>
    <n v="23819.97"/>
    <n v="0.28313225014706372"/>
    <x v="3"/>
  </r>
  <r>
    <s v="Attr_63"/>
    <x v="17"/>
    <n v="5601.77"/>
    <n v="0.33296698724426116"/>
    <x v="2"/>
  </r>
  <r>
    <s v="Attr_65"/>
    <x v="18"/>
    <n v="8501.89"/>
    <n v="0.31998935613258761"/>
    <x v="1"/>
  </r>
  <r>
    <s v="Attr_67"/>
    <x v="19"/>
    <n v="6143.56"/>
    <n v="0.30676157116714059"/>
    <x v="0"/>
  </r>
  <r>
    <s v="Attr_68"/>
    <x v="20"/>
    <n v="5033.54"/>
    <n v="0.33073834852258016"/>
    <x v="2"/>
  </r>
  <r>
    <s v="Attr_84"/>
    <x v="21"/>
    <n v="12728.2"/>
    <n v="0.29113171558927742"/>
    <x v="3"/>
  </r>
  <r>
    <s v="Attr_86"/>
    <x v="22"/>
    <n v="9466.58"/>
    <n v="0.31077328432700174"/>
    <x v="3"/>
  </r>
  <r>
    <s v="Attr_87"/>
    <x v="23"/>
    <n v="11908.56"/>
    <n v="0.3314856780035858"/>
    <x v="1"/>
  </r>
  <r>
    <s v="Attr_89"/>
    <x v="24"/>
    <n v="2888.77"/>
    <n v="0.32062389565186505"/>
    <x v="2"/>
  </r>
  <r>
    <s v="Attr_9"/>
    <x v="25"/>
    <n v="18904.810000000001"/>
    <n v="0.35945753595419588"/>
    <x v="1"/>
  </r>
  <r>
    <s v="Attr_94"/>
    <x v="26"/>
    <n v="2054.16"/>
    <n v="0.3671972199579561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08B941-BD72-4F91-A624-4BA56CA7AD56}" name="PivotTable9" cacheId="163" applyNumberFormats="0" applyBorderFormats="0" applyFontFormats="0" applyPatternFormats="0" applyAlignmentFormats="0" applyWidthHeightFormats="1" dataCaption="Values" tag="f7fbe3b1-4b2c-4472-891f-13c6010c8254" updatedVersion="8" minRefreshableVersion="3" useAutoFormatting="1" subtotalHiddenItems="1" itemPrintTitles="1" createdVersion="8" indent="0" outline="1" outlineData="1" multipleFieldFilters="0">
  <location ref="AR6:AS13"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name="Sum of Valor" fld="1" baseField="0" baseItem="0"/>
  </dataFields>
  <pivotHierarchies count="67">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Gestor]"/>
        <x15:activeTabTopLevelEntity name="[F_Vendas_Clien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180E24-9B6D-4C38-9082-ADA23645CD78}" name="PivotTable1" cacheId="6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L41:AM46" firstHeaderRow="1" firstDataRow="1" firstDataCol="1"/>
  <pivotFields count="5">
    <pivotField showAll="0"/>
    <pivotField dataField="1" showAll="0">
      <items count="28">
        <item x="5"/>
        <item x="0"/>
        <item x="9"/>
        <item x="4"/>
        <item x="26"/>
        <item x="6"/>
        <item x="10"/>
        <item x="24"/>
        <item x="3"/>
        <item x="2"/>
        <item x="15"/>
        <item x="20"/>
        <item x="12"/>
        <item x="17"/>
        <item x="19"/>
        <item x="18"/>
        <item x="8"/>
        <item x="22"/>
        <item x="13"/>
        <item x="7"/>
        <item x="23"/>
        <item x="1"/>
        <item x="21"/>
        <item x="25"/>
        <item x="14"/>
        <item x="11"/>
        <item x="16"/>
        <item t="default"/>
      </items>
    </pivotField>
    <pivotField showAll="0"/>
    <pivotField showAll="0"/>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s>
  <rowFields count="1">
    <field x="4"/>
  </rowFields>
  <rowItems count="5">
    <i>
      <x v="2"/>
    </i>
    <i>
      <x v="3"/>
    </i>
    <i>
      <x v="1"/>
    </i>
    <i>
      <x/>
    </i>
    <i t="grand">
      <x/>
    </i>
  </rowItems>
  <colItems count="1">
    <i/>
  </colItems>
  <dataFields count="1">
    <dataField name="Sum of Total Valor" fld="1" baseField="0" baseItem="0"/>
  </dataFields>
  <formats count="1">
    <format dxfId="421">
      <pivotArea collapsedLevelsAreSubtotals="1" fieldPosition="0">
        <references count="1">
          <reference field="4" count="0"/>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182E75-428E-44D6-A75D-511DA46BDC32}" name="Vendas total" cacheId="3368" applyNumberFormats="0" applyBorderFormats="0" applyFontFormats="0" applyPatternFormats="0" applyAlignmentFormats="0" applyWidthHeightFormats="1" dataCaption="Values" tag="537c3ccf-0c6b-4b3a-87aa-5e9353ba4fff" updatedVersion="8" minRefreshableVersion="5" subtotalHiddenItems="1" itemPrintTitles="1" createdVersion="8" indent="0" outline="1" outlineData="1" multipleFieldFilters="0">
  <location ref="B4:B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578">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Calendar]"/>
        <x15:activeTabTopLevelEntity name="[Dim_Produ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52B6C1-9BCE-430C-BAAB-228916B7D625}" name="ABC Analysis" cacheId="3056" applyNumberFormats="0" applyBorderFormats="0" applyFontFormats="0" applyPatternFormats="0" applyAlignmentFormats="0" applyWidthHeightFormats="1" dataCaption="Values" tag="7eb75f2a-df54-451d-a4a2-58862a835970" updatedVersion="8" minRefreshableVersion="5" useAutoFormatting="1" subtotalHiddenItems="1" itemPrintTitles="1" createdVersion="8" indent="0" outline="1" outlineData="1" multipleFieldFilters="0">
  <location ref="P5:Q11" firstHeaderRow="1" firstDataRow="1" firstDataCol="1"/>
  <pivotFields count="5">
    <pivotField allDrilled="1" subtotalTop="0" showAll="0" measureFilter="1" sortType="de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4"/>
  </rowFields>
  <rowItems count="6">
    <i>
      <x v="1"/>
    </i>
    <i>
      <x/>
    </i>
    <i>
      <x v="3"/>
    </i>
    <i>
      <x v="2"/>
    </i>
    <i>
      <x v="4"/>
    </i>
    <i t="grand">
      <x/>
    </i>
  </rowItems>
  <colItems count="1">
    <i/>
  </colItems>
  <dataFields count="1">
    <dataField fld="3" subtotal="count" baseField="0" baseItem="0"/>
  </dataFields>
  <formats count="1">
    <format dxfId="573">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_Vendas_Cliente].[Flag_Valor_Neg].&amp;[0]"/>
      </members>
    </pivotHierarchy>
    <pivotHierarchy multipleItemSelectionAllowed="1" dragToData="1">
      <members count="1" level="1">
        <member name="[F_Vendas_Cliente].[Flag_Zero_Row].&amp;[0]"/>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4" iMeasureHier="32">
      <autoFilter ref="A1">
        <filterColumn colId="0">
          <top10 val="100" filterVal="100"/>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Produto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C2FFBF-B046-449C-9477-E93641C6DA87}" name="Taxa de Devolução %" cacheId="3362" applyNumberFormats="0" applyBorderFormats="0" applyFontFormats="0" applyPatternFormats="0" applyAlignmentFormats="0" applyWidthHeightFormats="1" dataCaption="Values" tag="5b6c7392-8ca2-4297-a0fd-3553a565e9ac" updatedVersion="8" minRefreshableVersion="5" subtotalHiddenItems="1" itemPrintTitles="1" createdVersion="8" indent="0" outline="1" outlineData="1" multipleFieldFilters="0">
  <location ref="J4:J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579">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Produto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31CE3C-4ABD-4C63-A7E4-90CCF31E29CF}" name="Growth €" cacheId="3377" applyNumberFormats="0" applyBorderFormats="0" applyFontFormats="0" applyPatternFormats="0" applyAlignmentFormats="0" applyWidthHeightFormats="1" dataCaption="Values" tag="f700585f-11d2-4200-a595-dd11d9265921" updatedVersion="8" minRefreshableVersion="3" useAutoFormatting="1" subtotalHiddenItems="1" itemPrintTitles="1" createdVersion="8" indent="0" outline="1" outlineData="1" multipleFieldFilters="0">
  <location ref="B15:B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576">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Calendar]"/>
        <x15:activeTabTopLevelEntity name="[Dim_Produ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4E149D9-3BC1-4EF6-BD65-C4102D37A83B}" name="Lucro" cacheId="3350" applyNumberFormats="0" applyBorderFormats="0" applyFontFormats="0" applyPatternFormats="0" applyAlignmentFormats="0" applyWidthHeightFormats="1" dataCaption="Values" tag="921ac0e5-b713-4c07-b483-c3d0c04b8fa2" updatedVersion="8" minRefreshableVersion="5" useAutoFormatting="1" subtotalHiddenItems="1" itemPrintTitles="1" createdVersion="8" indent="0" outline="1" outlineData="1" multipleFieldFilters="0">
  <location ref="D4:D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Lucro" fld="0" baseField="0" baseItem="0"/>
  </dataFields>
  <formats count="1">
    <format dxfId="581">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Produto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0F8F71D-44CE-4E0F-AFE9-B255FBE5DD9A}" name="Top 5 Products " cacheId="160" applyNumberFormats="0" applyBorderFormats="0" applyFontFormats="0" applyPatternFormats="0" applyAlignmentFormats="0" applyWidthHeightFormats="1" dataCaption="Values" tag="f97b680e-6407-494a-a02d-0c6b68f1e51c" updatedVersion="8" minRefreshableVersion="3" useAutoFormatting="1" subtotalHiddenItems="1" itemPrintTitles="1" createdVersion="8" indent="0" outline="1" outlineData="1" multipleFieldFilters="0" chartFormat="10">
  <location ref="AX6:AY12" firstHeaderRow="1" firstDataRow="1" firstDataCol="1"/>
  <pivotFields count="2">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v="2"/>
    </i>
    <i>
      <x v="4"/>
    </i>
    <i>
      <x/>
    </i>
    <i>
      <x v="1"/>
    </i>
    <i>
      <x v="3"/>
    </i>
    <i t="grand">
      <x/>
    </i>
  </rowItems>
  <colItems count="1">
    <i/>
  </colItems>
  <dataFields count="1">
    <dataField fld="0" subtotal="count" baseField="0" baseItem="0"/>
  </dataFields>
  <chartFormats count="2">
    <chartFormat chart="0"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33">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Produto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63993A9-1B7B-4C39-91B0-AA5E75998292}" name="Margem" cacheId="3353" applyNumberFormats="0" applyBorderFormats="0" applyFontFormats="0" applyPatternFormats="0" applyAlignmentFormats="0" applyWidthHeightFormats="1" dataCaption="Values" tag="370e385a-16d4-42e8-acb9-c1d3d8282c19" updatedVersion="8" minRefreshableVersion="5" useAutoFormatting="1" subtotalHiddenItems="1" itemPrintTitles="1" createdVersion="8" indent="0" outline="1" outlineData="1" multipleFieldFilters="0">
  <location ref="F4:F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9"/>
  </dataFields>
  <formats count="1">
    <format dxfId="580">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43BD58B-9350-4907-88F7-20E73F13D769}" name="VS 2024" cacheId="3365" applyNumberFormats="0" applyBorderFormats="0" applyFontFormats="0" applyPatternFormats="0" applyAlignmentFormats="0" applyWidthHeightFormats="1" dataCaption="Values" tag="d75ef637-8ac7-419e-9eb5-e760e7cfc0c1" updatedVersion="8" minRefreshableVersion="3" useAutoFormatting="1" subtotalHiddenItems="1" itemPrintTitles="1" createdVersion="8" indent="0" outline="1" outlineData="1" multipleFieldFilters="0">
  <location ref="H4:H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577">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Produ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07678B9-586D-40B6-8A80-DE3FBCCB495B}" name="Return Impact" cacheId="3371" applyNumberFormats="0" applyBorderFormats="0" applyFontFormats="0" applyPatternFormats="0" applyAlignmentFormats="0" applyWidthHeightFormats="1" dataCaption="Values" tag="d58a28c5-49bf-466b-bb76-04c363cf1481" updatedVersion="8" minRefreshableVersion="5" useAutoFormatting="1" subtotalHiddenItems="1" itemPrintTitles="1" createdVersion="8" indent="0" outline="1" outlineData="1" multipleFieldFilters="0">
  <location ref="D15:D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575">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Calendar]"/>
        <x15:activeTabTopLevelEntity name="[Dim_Produ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50324C5-C13F-45FF-BD7C-F04A9C1029C9}" name="Revenue vs Profit vs Margin" cacheId="3359" applyNumberFormats="0" applyBorderFormats="0" applyFontFormats="0" applyPatternFormats="0" applyAlignmentFormats="0" applyWidthHeightFormats="1" dataCaption="Values" tag="aae2fba1-1cc4-4d98-ad5f-859fac498467" updatedVersion="8" minRefreshableVersion="5" useAutoFormatting="1" subtotalHiddenItems="1" itemPrintTitles="1" createdVersion="8" indent="0" outline="1" outlineData="1" multipleFieldFilters="0" chartFormat="69">
  <location ref="AB6:AD19" firstHeaderRow="0" firstDataRow="1" firstDataCol="1"/>
  <pivotFields count="6">
    <pivotField axis="axisRow" allDrilled="1" subtotalTop="0" showAll="0" defaultSubtotal="0" defaultAttributeDrillState="1">
      <items count="12">
        <item n="Janeiro" x="0"/>
        <item n="Fevereiro" x="1"/>
        <item n="Março" x="2"/>
        <item n="Abril" x="3"/>
        <item n="Maio" x="4"/>
        <item n="Junho" x="5"/>
        <item n="Julho" x="6"/>
        <item n="Agosto" x="7"/>
        <item n="Setembro" x="8"/>
        <item n="Outubro" x="9"/>
        <item n="Novembro" x="10"/>
        <item n="Dezembro" x="11"/>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Revenue" fld="3" subtotal="count" baseField="0" baseItem="0" numFmtId="165"/>
    <dataField name="Margin (%)" fld="4" subtotal="count" baseField="0" baseItem="0" numFmtId="9"/>
  </dataFields>
  <formats count="4">
    <format dxfId="583">
      <pivotArea outline="0" collapsedLevelsAreSubtotals="1" fieldPosition="0"/>
    </format>
    <format dxfId="584">
      <pivotArea outline="0" collapsedLevelsAreSubtotals="1" fieldPosition="0">
        <references count="1">
          <reference field="4294967294" count="1" selected="0">
            <x v="0"/>
          </reference>
        </references>
      </pivotArea>
    </format>
    <format dxfId="585">
      <pivotArea outline="0" collapsedLevelsAreSubtotals="1" fieldPosition="0">
        <references count="1">
          <reference field="4294967294" count="1" selected="0">
            <x v="1"/>
          </reference>
        </references>
      </pivotArea>
    </format>
    <format dxfId="586">
      <pivotArea dataOnly="0" labelOnly="1" outline="0" fieldPosition="0">
        <references count="1">
          <reference field="4294967294" count="1">
            <x v="1"/>
          </reference>
        </references>
      </pivotArea>
    </format>
  </formats>
  <chartFormats count="6">
    <chartFormat chart="42"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1"/>
          </reference>
        </references>
      </pivotArea>
    </chartFormat>
    <chartFormat chart="64" format="0"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1"/>
          </reference>
        </references>
      </pivotArea>
    </chartFormat>
    <chartFormat chart="66" format="4" series="1">
      <pivotArea type="data" outline="0" fieldPosition="0">
        <references count="1">
          <reference field="4294967294" count="1" selected="0">
            <x v="0"/>
          </reference>
        </references>
      </pivotArea>
    </chartFormat>
    <chartFormat chart="66" format="5" series="1">
      <pivotArea type="data" outline="0" fieldPosition="0">
        <references count="1">
          <reference field="4294967294" count="1" selected="0">
            <x v="1"/>
          </reference>
        </references>
      </pivotArea>
    </chartFormat>
  </chart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Dim_Produtos].[Sub-Categoria].&amp;[ACESSÓRIOS]"/>
      </members>
    </pivotHierarchy>
    <pivotHierarchy dragToData="1"/>
    <pivotHierarchy multipleItemSelectionAllowed="1" dragToData="1"/>
    <pivotHierarchy multipleItemSelectionAllowed="1" dragToData="1"/>
    <pivotHierarchy multipleItemSelectionAllowed="1" dragToData="1">
      <members count="1" level="1">
        <member name="[F_Vendas_Cliente].[ID_Produto].&amp;[110105053009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Calendar]"/>
        <x15:activeTabTopLevelEntity name="[Dim_Produ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31293C3-C2DB-410B-81AE-F749C28D0D55}" name="artigos" cacheId="3347" applyNumberFormats="0" applyBorderFormats="0" applyFontFormats="0" applyPatternFormats="0" applyAlignmentFormats="0" applyWidthHeightFormats="1" dataCaption="Values" tag="7141e86e-0d82-48a4-b20b-9ec3603f1ccc" updatedVersion="8" minRefreshableVersion="5" useAutoFormatting="1" subtotalHiddenItems="1" itemPrintTitles="1" createdVersion="8" indent="0" outline="1" outlineData="1" multipleFieldFilters="0">
  <location ref="M4:M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
  </dataFields>
  <formats count="1">
    <format dxfId="582">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6874170-181C-41C4-B5BF-80DCC7C64535}" name="Top 10 Share" cacheId="3374" applyNumberFormats="0" applyBorderFormats="0" applyFontFormats="0" applyPatternFormats="0" applyAlignmentFormats="0" applyWidthHeightFormats="1" dataCaption="Values" tag="31f9f25f-45ec-46fa-a546-42755d9184f2" updatedVersion="8" minRefreshableVersion="5" useAutoFormatting="1" subtotalHiddenItems="1" itemPrintTitles="1" createdVersion="8" indent="0" outline="1" outlineData="1" multipleFieldFilters="0">
  <location ref="F15:F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9"/>
  </dataFields>
  <formats count="1">
    <format dxfId="574">
      <pivotArea outline="0" collapsedLevelsAreSubtotals="1" fieldPosition="0"/>
    </format>
  </format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Calendar]"/>
        <x15:activeTabTopLevelEntity name="[Dim_Produ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7BD632D-0B83-4539-9B0A-D26EDCFD3928}" name="Treemap" cacheId="3356" applyNumberFormats="0" applyBorderFormats="0" applyFontFormats="0" applyPatternFormats="0" applyAlignmentFormats="0" applyWidthHeightFormats="1" dataCaption="Values" tag="bcd732d9-550b-4099-8b10-d6fe9141f2f2" updatedVersion="8" minRefreshableVersion="5" useAutoFormatting="1" subtotalHiddenItems="1" itemPrintTitles="1" createdVersion="8" indent="0" outline="1" outlineData="1" multipleFieldFilters="0">
  <location ref="AG6:AJ34" firstHeaderRow="0" firstDataRow="1" firstDataCol="1"/>
  <pivotFields count="7">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dataField="1" subtotalTop="0" showAll="0" defaultSubtotal="0"/>
    <pivotField allDrilled="1" subtotalTop="0" showAll="0" dataSourceSort="1" defaultSubtotal="0" defaultAttributeDrillState="1"/>
  </pivotFields>
  <rowFields count="1">
    <field x="4"/>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3">
    <i>
      <x/>
    </i>
    <i i="1">
      <x v="1"/>
    </i>
    <i i="2">
      <x v="2"/>
    </i>
  </colItems>
  <dataFields count="3">
    <dataField fld="0" subtotal="count" baseField="0" baseItem="0"/>
    <dataField fld="5" subtotal="count" baseField="0" baseItem="0"/>
    <dataField fld="2" subtotal="count" baseField="0" baseItem="0"/>
  </dataFields>
  <pivotHierarchies count="6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_Vendas_Cliente].[Flag_Valor_Neg].&amp;[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_Vendas_Cliente]"/>
        <x15:activeTabTopLevelEntity name="[Dim_Produto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v>Work from home house with solid fill</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5FFF357B-6A8A-47FA-BBF2-B7CC0E11E825}" sourceName="[Dim_Produtos].[Categoria]">
  <pivotTables>
    <pivotTable tabId="4" name="Revenue vs Profit vs Margin"/>
    <pivotTable tabId="4" name="artigos"/>
    <pivotTable tabId="4" name="Lucro"/>
    <pivotTable tabId="4" name="Margem"/>
    <pivotTable tabId="4" name="Taxa de Devolução %"/>
    <pivotTable tabId="4" name="Treemap"/>
    <pivotTable tabId="4" name="Vendas total"/>
    <pivotTable tabId="4" name="VS 2024"/>
    <pivotTable tabId="4" name="Growth €"/>
    <pivotTable tabId="4" name="Return Impact"/>
    <pivotTable tabId="4" name="Top 10 Share"/>
  </pivotTables>
  <data>
    <olap pivotCacheId="527010705">
      <levels count="2">
        <level uniqueName="[Dim_Produtos].[Categoria].[(All)]" sourceCaption="(All)" count="0"/>
        <level uniqueName="[Dim_Produtos].[Categoria].[Categoria]" sourceCaption="Categoria" count="5">
          <ranges>
            <range startItem="0">
              <i n="[Dim_Produtos].[Categoria].&amp;[Electronics Plus]" c="Electronics Plus"/>
              <i n="[Dim_Produtos].[Categoria].&amp;[Home Essentials]" c="Home Essentials"/>
              <i n="[Dim_Produtos].[Categoria].&amp;[Kitchen Pro]" c="Kitchen Pro"/>
              <i n="[Dim_Produtos].[Categoria].&amp;[Outdoor Gear]" c="Outdoor Gear"/>
              <i n="[Dim_Produtos].[Categoria].&amp;[Smart Living]" c="Smart Living"/>
            </range>
          </ranges>
        </level>
      </levels>
      <selections count="1">
        <selection n="[Dim_Produtos].[Categoria].[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a_Permanente1" xr10:uid="{2C7EC940-9574-4095-A8CF-2D2B0FA5E792}" sourceName="[Dim_Produtos].[Gama Permanente]">
  <pivotTables>
    <pivotTable tabId="4" name="artigos"/>
    <pivotTable tabId="4" name="Lucro"/>
    <pivotTable tabId="4" name="Margem"/>
    <pivotTable tabId="4" name="Treemap"/>
    <pivotTable tabId="4" name="Revenue vs Profit vs Margin"/>
    <pivotTable tabId="4" name="Taxa de Devolução %"/>
    <pivotTable tabId="4" name="VS 2024"/>
    <pivotTable tabId="4" name="Vendas total"/>
    <pivotTable tabId="4" name="Return Impact"/>
    <pivotTable tabId="4" name="Top 10 Share"/>
    <pivotTable tabId="4" name="Growth €"/>
  </pivotTables>
  <data>
    <olap pivotCacheId="527010705">
      <levels count="2">
        <level uniqueName="[Dim_Produtos].[Gama Permanente].[(All)]" sourceCaption="(All)" count="0"/>
        <level uniqueName="[Dim_Produtos].[Gama Permanente].[Gama Permanente]" sourceCaption="Gama Permanente" count="27">
          <ranges>
            <range startItem="0">
              <i n="[Dim_Produtos].[Gama Permanente].&amp;[Attr_100]" c="Attr_100"/>
              <i n="[Dim_Produtos].[Gama Permanente].&amp;[Attr_11]" c="Attr_11"/>
              <i n="[Dim_Produtos].[Gama Permanente].&amp;[Attr_13]" c="Attr_13"/>
              <i n="[Dim_Produtos].[Gama Permanente].&amp;[Attr_18]" c="Attr_18"/>
              <i n="[Dim_Produtos].[Gama Permanente].&amp;[Attr_23]" c="Attr_23"/>
              <i n="[Dim_Produtos].[Gama Permanente].&amp;[Attr_26]" c="Attr_26"/>
              <i n="[Dim_Produtos].[Gama Permanente].&amp;[Attr_32]" c="Attr_32"/>
              <i n="[Dim_Produtos].[Gama Permanente].&amp;[Attr_35]" c="Attr_35"/>
              <i n="[Dim_Produtos].[Gama Permanente].&amp;[Attr_36]" c="Attr_36"/>
              <i n="[Dim_Produtos].[Gama Permanente].&amp;[Attr_41]" c="Attr_41"/>
              <i n="[Dim_Produtos].[Gama Permanente].&amp;[Attr_47]" c="Attr_47"/>
              <i n="[Dim_Produtos].[Gama Permanente].&amp;[Attr_52]" c="Attr_52"/>
              <i n="[Dim_Produtos].[Gama Permanente].&amp;[Attr_55]" c="Attr_55"/>
              <i n="[Dim_Produtos].[Gama Permanente].&amp;[Attr_56]" c="Attr_56"/>
              <i n="[Dim_Produtos].[Gama Permanente].&amp;[Attr_6]" c="Attr_6"/>
              <i n="[Dim_Produtos].[Gama Permanente].&amp;[Attr_63]" c="Attr_63"/>
              <i n="[Dim_Produtos].[Gama Permanente].&amp;[Attr_65]" c="Attr_65"/>
              <i n="[Dim_Produtos].[Gama Permanente].&amp;[Attr_70]" c="Attr_70"/>
              <i n="[Dim_Produtos].[Gama Permanente].&amp;[Attr_72]" c="Attr_72"/>
              <i n="[Dim_Produtos].[Gama Permanente].&amp;[Attr_74]" c="Attr_74"/>
              <i n="[Dim_Produtos].[Gama Permanente].&amp;[Attr_75]" c="Attr_75"/>
              <i n="[Dim_Produtos].[Gama Permanente].&amp;[Attr_88]" c="Attr_88"/>
              <i n="[Dim_Produtos].[Gama Permanente].&amp;[Attr_89]" c="Attr_89"/>
              <i n="[Dim_Produtos].[Gama Permanente].&amp;[Attr_9]" c="Attr_9"/>
              <i n="[Dim_Produtos].[Gama Permanente].&amp;[Attr_91]" c="Attr_91"/>
              <i n="[Dim_Produtos].[Gama Permanente].&amp;[Attr_97]" c="Attr_97"/>
              <i n="[Dim_Produtos].[Gama Permanente].&amp;[Attr_99]" c="Attr_99"/>
            </range>
          </ranges>
        </level>
      </levels>
      <selections count="1">
        <selection n="[Dim_Produtos].[Gama Permanen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a 1" xr10:uid="{EA91D3D5-1A5A-4B87-A69B-1F2E79AA1F0A}" cache="Slicer_Categoria" caption="Categoria" level="1" rowHeight="247650"/>
  <slicer name="Gama Permanente 2" xr10:uid="{FBD2C190-ECDB-4E88-9184-53B79F533892}" cache="Slicer_Gama_Permanente1" caption="Gama Permanente" startItem="12" level="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1A290B-22BA-46D2-B6EA-62BE41838224}" name="Dim_Gestor" displayName="Dim_Gestor" ref="A1:B7" totalsRowShown="0">
  <autoFilter ref="A1:B7" xr:uid="{531A290B-22BA-46D2-B6EA-62BE41838224}"/>
  <tableColumns count="2">
    <tableColumn id="1" xr3:uid="{39D86CBD-7B96-4C2C-9DBB-58FE3F298FD5}" name="ID_Gestor"/>
    <tableColumn id="2" xr3:uid="{3EA34E81-B964-4715-8D53-6ADC52285BE0}" name="Gestor" dataDxfId="60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E15FA07-7607-411A-8258-9D3BFCB1FE39}" name="Dim_Clientes" displayName="Dim_Clientes" ref="A1:E31" totalsRowShown="0">
  <autoFilter ref="A1:E31" xr:uid="{7E15FA07-7607-411A-8258-9D3BFCB1FE39}"/>
  <tableColumns count="5">
    <tableColumn id="1" xr3:uid="{428422B6-DCCD-4FF2-99F5-0279CC30D852}" name="ID_Client" dataDxfId="600"/>
    <tableColumn id="2" xr3:uid="{9746C140-6C00-4B2A-BE7F-17F019BE1EAF}" name="Cliente_Curto" dataDxfId="599"/>
    <tableColumn id="3" xr3:uid="{867CC2F3-D49E-453F-87FD-EDAD4E0F6D08}" name="Cliente_Completo" dataDxfId="598"/>
    <tableColumn id="4" xr3:uid="{9A5FAE34-4146-4EEF-A8C3-0F8B69BF96D7}" name="País" dataDxfId="597"/>
    <tableColumn id="5" xr3:uid="{B06A03F1-DD8D-48B8-8A67-2450DC2CEE95}" name="Tipo" dataDxfId="59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E3264B-163A-47FC-BD9F-1C50F88D571E}" name="F_Vendas_Cliente" displayName="F_Vendas_Cliente" ref="A1:K901" totalsRowShown="0">
  <autoFilter ref="A1:K901" xr:uid="{15E3264B-163A-47FC-BD9F-1C50F88D571E}"/>
  <tableColumns count="11">
    <tableColumn id="14" xr3:uid="{F3364DAB-DB44-4105-A32A-F7850445B59E}" name="ID_Produto" dataDxfId="595"/>
    <tableColumn id="12" xr3:uid="{EB56C420-4CC2-4139-A3E5-19ED908CE984}" name="ID_Gestor"/>
    <tableColumn id="3" xr3:uid="{0CF369C3-CA01-4346-8D51-C038FFEB2E8D}" name="Qtd"/>
    <tableColumn id="4" xr3:uid="{BBA61AE6-46A9-4B02-88FC-36A221FD240C}" name="Valor"/>
    <tableColumn id="5" xr3:uid="{23ADF500-CA08-4A6E-8071-C42E36A4BD6B}" name="Lucro"/>
    <tableColumn id="6" xr3:uid="{5EC88A74-6164-4468-ACBF-18182B94102A}" name="Data" dataDxfId="594"/>
    <tableColumn id="7" xr3:uid="{53387DE1-4636-4331-B0E2-C952AB673897}" name="Flag_Qtd_Neg"/>
    <tableColumn id="8" xr3:uid="{761A4167-EE23-4644-B5E8-0C835CD22F63}" name="Flag_Valor_Neg"/>
    <tableColumn id="9" xr3:uid="{5A487470-5DBB-4446-867F-2E8EEEC4D9FD}" name="Flag_Zero_Row"/>
    <tableColumn id="10" xr3:uid="{57C22705-DF81-47E9-A3F8-9D82545C1BDC}" name="Tipo_Movimento"/>
    <tableColumn id="17" xr3:uid="{FB8A25E2-3FF2-4480-95E1-4B63147850AB}" name="ID_Client" dataDxfId="59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B13F770-152E-4186-9A92-9535B68A1835}" name="Dim_Produtos" displayName="Dim_Produtos" ref="A1:F31" totalsRowShown="0">
  <autoFilter ref="A1:F31" xr:uid="{DB13F770-152E-4186-9A92-9535B68A1835}"/>
  <tableColumns count="6">
    <tableColumn id="1" xr3:uid="{F66F58CA-A7D7-44BA-9DCA-4DD8384F46D3}" name="ID_Produto" dataDxfId="592"/>
    <tableColumn id="2" xr3:uid="{508898A4-99B9-4B19-A318-5B638F476505}" name="Designação" dataDxfId="591"/>
    <tableColumn id="3" xr3:uid="{014CFDAF-538E-400C-9FC4-C449D6D8587A}" name="Sub-Categoria" dataDxfId="590"/>
    <tableColumn id="4" xr3:uid="{4D1E2FA7-E47C-48C8-A58F-90BF0EA346AB}" name="Área" dataDxfId="589"/>
    <tableColumn id="5" xr3:uid="{D4FC3C19-12D1-4FF8-93AC-F8EF5F0D0198}" name="Categoria" dataDxfId="588"/>
    <tableColumn id="6" xr3:uid="{8AFDFD66-9324-4DE9-80A1-DF1A76F063B1}" name="Gama Permanente" dataDxfId="58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 xr10:uid="{5DD1E3C7-74B9-4274-AC62-2E2FAE0FF579}" sourceName="[F_Vendas_Cliente].[Data]">
  <pivotTables>
    <pivotTable tabId="4" name="Lucro"/>
    <pivotTable tabId="4" name="ABC Analysis"/>
    <pivotTable tabId="4" name="artigos"/>
    <pivotTable tabId="4" name="Margem"/>
    <pivotTable tabId="4" name="Return Impact"/>
    <pivotTable tabId="4" name="Revenue vs Profit vs Margin"/>
    <pivotTable tabId="4" name="Taxa de Devolução %"/>
    <pivotTable tabId="4" name="Top 10 Share"/>
    <pivotTable tabId="4" name="Treemap"/>
    <pivotTable tabId="4" name="Vendas total"/>
  </pivotTables>
  <state minimalRefreshVersion="6" lastRefreshVersion="6" pivotCacheId="1003746684" filterType="unknown">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1" xr10:uid="{BFA592CC-5FDF-4B16-BB88-CECAB77427E0}" cache="Timeline_Data" caption="Data" level="0" selectionLevel="0" scrollPosition="2024-01-01T00:00:00"/>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0C4E456-032D-44A9-BD16-5A6E1E942955}">
  <we:reference id="wa200005502" version="1.0.0.12" store="en-US" storeType="OMEX"/>
  <we:alternateReferences>
    <we:reference id="WA200005502" version="1.0.0.12" store="WA200005502" storeType="OMEX"/>
  </we:alternateReferences>
  <we:properties>
    <we:property name="docId" value="&quot;NEil8u24ntH574QQG4tdY&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25199-7FAB-471E-8466-8B5B0CCD305E}">
  <sheetPr codeName="Sheet1"/>
  <dimension ref="A1:AC18"/>
  <sheetViews>
    <sheetView showGridLines="0" tabSelected="1" topLeftCell="A15" zoomScale="60" zoomScaleNormal="60" workbookViewId="0">
      <selection activeCell="AS43" sqref="AS43"/>
    </sheetView>
  </sheetViews>
  <sheetFormatPr defaultRowHeight="14.4"/>
  <cols>
    <col min="29" max="29" width="6.33203125" customWidth="1"/>
  </cols>
  <sheetData>
    <row r="1" spans="1:29">
      <c r="A1" s="1"/>
      <c r="U1" s="14"/>
      <c r="V1" s="14"/>
      <c r="W1" s="14"/>
      <c r="X1" s="14"/>
      <c r="Y1" s="14"/>
      <c r="Z1" s="14"/>
      <c r="AA1" s="14"/>
      <c r="AB1" s="14" t="e" vm="1">
        <v>#VALUE!</v>
      </c>
      <c r="AC1" s="14"/>
    </row>
    <row r="2" spans="1:29">
      <c r="A2" s="1"/>
      <c r="U2" s="14"/>
      <c r="V2" s="14"/>
      <c r="W2" s="14"/>
      <c r="X2" s="14"/>
      <c r="Y2" s="14"/>
      <c r="Z2" s="14"/>
      <c r="AA2" s="14"/>
      <c r="AB2" s="14"/>
      <c r="AC2" s="14"/>
    </row>
    <row r="3" spans="1:29">
      <c r="U3" s="14"/>
      <c r="V3" s="14"/>
      <c r="W3" s="14"/>
      <c r="X3" s="14"/>
      <c r="Y3" s="14"/>
      <c r="Z3" s="14"/>
      <c r="AA3" s="14"/>
      <c r="AB3" s="14"/>
      <c r="AC3" s="14"/>
    </row>
    <row r="4" spans="1:29">
      <c r="A4" s="1"/>
      <c r="U4" s="14"/>
      <c r="V4" s="14"/>
      <c r="W4" s="14"/>
      <c r="X4" s="14"/>
      <c r="Y4" s="14"/>
      <c r="Z4" s="14"/>
      <c r="AA4" s="14"/>
      <c r="AB4" s="14"/>
      <c r="AC4" s="14"/>
    </row>
    <row r="5" spans="1:29">
      <c r="U5" s="14"/>
      <c r="V5" s="14"/>
      <c r="W5" s="14"/>
      <c r="X5" s="14"/>
      <c r="Y5" s="14"/>
      <c r="Z5" s="14"/>
      <c r="AA5" s="14"/>
      <c r="AB5" s="14"/>
      <c r="AC5" s="14"/>
    </row>
    <row r="6" spans="1:29">
      <c r="U6" s="14"/>
      <c r="V6" s="14"/>
      <c r="W6" s="14"/>
      <c r="X6" s="14"/>
      <c r="Y6" s="14"/>
      <c r="Z6" s="14"/>
      <c r="AA6" s="14"/>
      <c r="AB6" s="14"/>
      <c r="AC6" s="14"/>
    </row>
    <row r="7" spans="1:29">
      <c r="U7" s="14"/>
      <c r="V7" s="14"/>
      <c r="W7" s="14"/>
      <c r="X7" s="14"/>
      <c r="Y7" s="14"/>
      <c r="Z7" s="14"/>
      <c r="AA7" s="14"/>
      <c r="AB7" s="14"/>
      <c r="AC7" s="14"/>
    </row>
    <row r="8" spans="1:29" ht="38.4" customHeight="1">
      <c r="U8" s="14"/>
      <c r="V8" s="14"/>
      <c r="W8" s="14"/>
      <c r="X8" s="14"/>
      <c r="Y8" s="14"/>
      <c r="Z8" s="14"/>
      <c r="AA8" s="14"/>
      <c r="AB8" s="14"/>
      <c r="AC8" s="14"/>
    </row>
    <row r="9" spans="1:29">
      <c r="U9" s="14"/>
      <c r="V9" s="14"/>
      <c r="W9" s="14"/>
      <c r="X9" s="14"/>
      <c r="Y9" s="14"/>
      <c r="Z9" s="14"/>
      <c r="AA9" s="14"/>
      <c r="AB9" s="14"/>
      <c r="AC9" s="14"/>
    </row>
    <row r="10" spans="1:29">
      <c r="U10" s="14"/>
      <c r="V10" s="14"/>
      <c r="W10" s="14"/>
      <c r="X10" s="14"/>
      <c r="Y10" s="14"/>
      <c r="Z10" s="14"/>
      <c r="AA10" s="14"/>
      <c r="AB10" s="14"/>
      <c r="AC10" s="14"/>
    </row>
    <row r="11" spans="1:29">
      <c r="U11" s="14"/>
      <c r="V11" s="14"/>
      <c r="W11" s="14"/>
      <c r="X11" s="14"/>
      <c r="Y11" s="14"/>
      <c r="Z11" s="14"/>
      <c r="AA11" s="14"/>
      <c r="AB11" s="14"/>
      <c r="AC11" s="14"/>
    </row>
    <row r="12" spans="1:29">
      <c r="U12" s="14"/>
      <c r="V12" s="14"/>
      <c r="W12" s="14"/>
      <c r="X12" s="14"/>
      <c r="Y12" s="14"/>
      <c r="Z12" s="14"/>
      <c r="AA12" s="14"/>
      <c r="AB12" s="14"/>
      <c r="AC12" s="14"/>
    </row>
    <row r="13" spans="1:29">
      <c r="U13" s="14"/>
      <c r="V13" s="14"/>
      <c r="W13" s="14"/>
      <c r="X13" s="14"/>
      <c r="Y13" s="14"/>
      <c r="Z13" s="14"/>
      <c r="AA13" s="14"/>
      <c r="AB13" s="14"/>
      <c r="AC13" s="14"/>
    </row>
    <row r="14" spans="1:29">
      <c r="U14" s="14"/>
      <c r="V14" s="14"/>
      <c r="W14" s="14"/>
      <c r="X14" s="14"/>
      <c r="Y14" s="14"/>
      <c r="Z14" s="14"/>
      <c r="AA14" s="14"/>
      <c r="AB14" s="14"/>
      <c r="AC14" s="14"/>
    </row>
    <row r="15" spans="1:29">
      <c r="U15" s="14"/>
      <c r="V15" s="14"/>
      <c r="W15" s="14"/>
      <c r="X15" s="14"/>
      <c r="Y15" s="14"/>
      <c r="Z15" s="14"/>
      <c r="AA15" s="14"/>
      <c r="AB15" s="14"/>
      <c r="AC15" s="14"/>
    </row>
    <row r="16" spans="1:29">
      <c r="U16" s="14"/>
      <c r="V16" s="14"/>
      <c r="W16" s="14"/>
      <c r="X16" s="14"/>
      <c r="Y16" s="14"/>
      <c r="Z16" s="14"/>
      <c r="AA16" s="14"/>
      <c r="AB16" s="14"/>
      <c r="AC16" s="14"/>
    </row>
    <row r="17" spans="21:29">
      <c r="U17" s="14"/>
      <c r="V17" s="14"/>
      <c r="W17" s="14"/>
      <c r="X17" s="14"/>
      <c r="Y17" s="14"/>
      <c r="Z17" s="14"/>
      <c r="AA17" s="14"/>
      <c r="AB17" s="14"/>
      <c r="AC17" s="14"/>
    </row>
    <row r="18" spans="21:29">
      <c r="U18" s="14"/>
      <c r="V18" s="14"/>
      <c r="W18" s="14"/>
      <c r="X18" s="14"/>
      <c r="Y18" s="14"/>
      <c r="Z18" s="14"/>
      <c r="AA18" s="14"/>
      <c r="AB18" s="14"/>
      <c r="AC18" s="14"/>
    </row>
  </sheetData>
  <hyperlinks>
    <hyperlink ref="AB1" location="Objetivo!A1" display="Objetivo!A1" xr:uid="{841D5E0F-CC09-4A77-ADF1-789A85E9BE34}"/>
  </hyperlink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8306C-D51B-4E10-919A-120BF8956C31}">
  <sheetPr codeName="Sheet4"/>
  <dimension ref="A1:AY128"/>
  <sheetViews>
    <sheetView topLeftCell="AB23" zoomScale="85" zoomScaleNormal="85" workbookViewId="0">
      <selection activeCell="AM42" sqref="AM42:AM45"/>
    </sheetView>
  </sheetViews>
  <sheetFormatPr defaultRowHeight="14.4"/>
  <cols>
    <col min="1" max="1" width="31.88671875" customWidth="1"/>
    <col min="2" max="2" width="11.88671875" bestFit="1" customWidth="1"/>
    <col min="3" max="3" width="15.88671875" customWidth="1"/>
    <col min="4" max="4" width="12.88671875" bestFit="1" customWidth="1"/>
    <col min="5" max="5" width="14" bestFit="1" customWidth="1"/>
    <col min="6" max="6" width="17.33203125" bestFit="1" customWidth="1"/>
    <col min="7" max="7" width="17" bestFit="1" customWidth="1"/>
    <col min="8" max="8" width="18.88671875" bestFit="1" customWidth="1"/>
    <col min="9" max="9" width="18.33203125" bestFit="1" customWidth="1"/>
    <col min="10" max="10" width="18.88671875" bestFit="1" customWidth="1"/>
    <col min="13" max="13" width="14.21875" bestFit="1" customWidth="1"/>
    <col min="16" max="16" width="15.109375" bestFit="1" customWidth="1"/>
    <col min="17" max="17" width="9.88671875" bestFit="1" customWidth="1"/>
    <col min="18" max="18" width="12" bestFit="1" customWidth="1"/>
    <col min="19" max="19" width="15.33203125" bestFit="1" customWidth="1"/>
    <col min="22" max="22" width="8.88671875" style="7"/>
    <col min="28" max="28" width="13" bestFit="1" customWidth="1"/>
    <col min="29" max="29" width="14.44140625" bestFit="1" customWidth="1"/>
    <col min="30" max="31" width="9.88671875" bestFit="1" customWidth="1"/>
    <col min="32" max="32" width="14" bestFit="1" customWidth="1"/>
    <col min="33" max="33" width="13" bestFit="1" customWidth="1"/>
    <col min="34" max="34" width="11.33203125" bestFit="1" customWidth="1"/>
    <col min="35" max="35" width="10.33203125" bestFit="1" customWidth="1"/>
    <col min="36" max="36" width="12.44140625" bestFit="1" customWidth="1"/>
    <col min="38" max="38" width="13" bestFit="1" customWidth="1"/>
    <col min="39" max="39" width="16.44140625" bestFit="1" customWidth="1"/>
    <col min="40" max="40" width="8.21875" bestFit="1" customWidth="1"/>
    <col min="41" max="41" width="7.21875" bestFit="1" customWidth="1"/>
    <col min="42" max="44" width="8.21875" bestFit="1" customWidth="1"/>
    <col min="45" max="45" width="7.21875" bestFit="1" customWidth="1"/>
    <col min="46" max="46" width="8.21875" bestFit="1" customWidth="1"/>
    <col min="47" max="47" width="7.21875" bestFit="1" customWidth="1"/>
    <col min="48" max="49" width="9.21875" bestFit="1" customWidth="1"/>
    <col min="50" max="50" width="8.21875" bestFit="1" customWidth="1"/>
    <col min="51" max="51" width="9.21875" bestFit="1" customWidth="1"/>
    <col min="52" max="52" width="8.21875" bestFit="1" customWidth="1"/>
    <col min="53" max="59" width="9.21875" bestFit="1" customWidth="1"/>
    <col min="60" max="60" width="8.21875" bestFit="1" customWidth="1"/>
    <col min="61" max="65" width="9.21875" bestFit="1" customWidth="1"/>
    <col min="66" max="66" width="10.5546875" bestFit="1" customWidth="1"/>
  </cols>
  <sheetData>
    <row r="1" spans="1:51" ht="61.95" customHeight="1">
      <c r="A1" s="25" t="str">
        <f ca="1">"FOLHA DE FÓRMULAS E FUNÇÕES DO DASHBOARD 2, "&amp;TEXT(NOW(),"dddd, dd/mmm/aaaa ""às"" hh:mm")&amp;
" | Mês: "&amp;MONTH(TODAY())&amp;
" | Ano: "&amp;YEAR(TODAY())</f>
        <v>FOLHA DE FÓRMULAS E FUNÇÕES DO DASHBOARD 2, terça-feira, 31/mar/2026 às 12:56 | Mês: 3 | Ano: 2026</v>
      </c>
    </row>
    <row r="3" spans="1:51">
      <c r="B3" s="2" t="s">
        <v>21</v>
      </c>
      <c r="D3" s="4" t="s">
        <v>22</v>
      </c>
      <c r="F3" s="4" t="s">
        <v>19</v>
      </c>
      <c r="H3" s="4" t="s">
        <v>23</v>
      </c>
      <c r="J3" s="4" t="s">
        <v>24</v>
      </c>
      <c r="K3" s="4"/>
      <c r="M3" s="4" t="s">
        <v>25</v>
      </c>
    </row>
    <row r="4" spans="1:51" ht="18">
      <c r="B4" t="s">
        <v>26</v>
      </c>
      <c r="D4" t="s">
        <v>27</v>
      </c>
      <c r="F4" t="s">
        <v>28</v>
      </c>
      <c r="H4" t="s">
        <v>29</v>
      </c>
      <c r="J4" t="s">
        <v>30</v>
      </c>
      <c r="M4" t="s">
        <v>31</v>
      </c>
      <c r="P4" s="19" t="s">
        <v>32</v>
      </c>
      <c r="AB4" s="15" t="s">
        <v>33</v>
      </c>
    </row>
    <row r="5" spans="1:51" ht="23.4">
      <c r="B5" s="3">
        <v>1397440.84</v>
      </c>
      <c r="D5" s="3">
        <v>439870.57699999999</v>
      </c>
      <c r="F5" s="6">
        <v>0.31476865954482908</v>
      </c>
      <c r="H5" s="8">
        <v>0.10377076716650264</v>
      </c>
      <c r="J5" s="8">
        <v>0.10005342463585011</v>
      </c>
      <c r="M5" s="10">
        <v>30</v>
      </c>
      <c r="P5" s="5" t="s">
        <v>34</v>
      </c>
      <c r="Q5" t="s">
        <v>26</v>
      </c>
      <c r="S5" s="4" t="s">
        <v>34</v>
      </c>
      <c r="T5" s="4" t="s">
        <v>186</v>
      </c>
      <c r="U5" s="4" t="s">
        <v>35</v>
      </c>
      <c r="V5" s="13" t="s">
        <v>187</v>
      </c>
      <c r="W5" s="4" t="s">
        <v>36</v>
      </c>
      <c r="AG5" s="18" t="s">
        <v>37</v>
      </c>
      <c r="AN5" s="17"/>
      <c r="AR5" s="27" t="s">
        <v>38</v>
      </c>
      <c r="AS5" s="27"/>
      <c r="AX5" s="20" t="s">
        <v>39</v>
      </c>
    </row>
    <row r="6" spans="1:51">
      <c r="P6" s="12" t="s">
        <v>86</v>
      </c>
      <c r="Q6" s="10">
        <v>113282.36</v>
      </c>
      <c r="S6" s="12" t="str">
        <f t="shared" ref="S6:S10" si="0">P6</f>
        <v>Home Essentials</v>
      </c>
      <c r="T6" s="10" cm="1">
        <f t="array" ref="T6:T128">_xlfn.XLOOKUP(S6:S128,P6:P128,Q6:Q128,0,0)</f>
        <v>113282.36</v>
      </c>
      <c r="U6">
        <f>T6</f>
        <v>113282.36</v>
      </c>
      <c r="V6" s="7">
        <f>T6/U10</f>
        <v>8.1064154386671583E-2</v>
      </c>
      <c r="W6" t="str">
        <f t="shared" ref="W6:W11" si="1">IF(V6&lt;=0.8,"A",IF(V6&lt;=0.95,"B","C"))</f>
        <v>A</v>
      </c>
      <c r="X6" s="6">
        <v>0.8</v>
      </c>
      <c r="AB6" s="5" t="s">
        <v>34</v>
      </c>
      <c r="AC6" t="s">
        <v>184</v>
      </c>
      <c r="AD6" s="6" t="s">
        <v>185</v>
      </c>
      <c r="AG6" s="5" t="s">
        <v>34</v>
      </c>
      <c r="AH6" t="s">
        <v>26</v>
      </c>
      <c r="AI6" t="s">
        <v>40</v>
      </c>
      <c r="AJ6" t="s">
        <v>28</v>
      </c>
      <c r="AL6" t="s">
        <v>34</v>
      </c>
      <c r="AM6" t="s">
        <v>26</v>
      </c>
      <c r="AN6" s="16" t="s">
        <v>40</v>
      </c>
      <c r="AO6" t="s">
        <v>28</v>
      </c>
      <c r="AP6" t="s">
        <v>178</v>
      </c>
      <c r="AR6" s="5" t="s">
        <v>34</v>
      </c>
      <c r="AS6" t="s">
        <v>17</v>
      </c>
      <c r="AT6" t="s">
        <v>41</v>
      </c>
      <c r="AX6" s="5" t="s">
        <v>34</v>
      </c>
      <c r="AY6" t="s">
        <v>40</v>
      </c>
    </row>
    <row r="7" spans="1:51">
      <c r="P7" s="12" t="s">
        <v>90</v>
      </c>
      <c r="Q7" s="10">
        <v>229529.05</v>
      </c>
      <c r="S7" s="12" t="str">
        <f t="shared" si="0"/>
        <v>Electronics Plus</v>
      </c>
      <c r="T7" s="10">
        <v>229529.05</v>
      </c>
      <c r="U7">
        <f t="shared" ref="U7:U9" si="2">T7+U6</f>
        <v>342811.41</v>
      </c>
      <c r="V7" s="7">
        <f>U7/$U$10</f>
        <v>0.24531371932710941</v>
      </c>
      <c r="W7" t="str">
        <f t="shared" si="1"/>
        <v>A</v>
      </c>
      <c r="X7" s="6">
        <v>0.8</v>
      </c>
      <c r="AB7" s="12" t="s">
        <v>5</v>
      </c>
      <c r="AC7" s="3">
        <v>69826.399999999994</v>
      </c>
      <c r="AD7" s="6">
        <v>0.32708159091690253</v>
      </c>
      <c r="AG7" s="12" t="s">
        <v>111</v>
      </c>
      <c r="AH7" s="28">
        <v>11043.92</v>
      </c>
      <c r="AI7" s="28">
        <v>2899.21</v>
      </c>
      <c r="AJ7" s="28">
        <v>0.26251638910821518</v>
      </c>
      <c r="AL7" s="12" t="s">
        <v>111</v>
      </c>
      <c r="AM7">
        <v>3041.52</v>
      </c>
      <c r="AN7">
        <v>487.44</v>
      </c>
      <c r="AO7">
        <v>0.16026197427601988</v>
      </c>
      <c r="AP7" t="str">
        <f>IF(AM7&gt;=$AM$37,
    IF(AO7&gt;=$AM$38,"Star","Volume"),
    IF(AO7&gt;=$AM$38,"Niche","Problem"))</f>
        <v>Problem</v>
      </c>
      <c r="AR7" s="12" t="s">
        <v>63</v>
      </c>
      <c r="AS7" s="28">
        <v>546806.48</v>
      </c>
      <c r="AT7" s="7"/>
      <c r="AX7" s="12" t="s">
        <v>80</v>
      </c>
      <c r="AY7" s="28">
        <v>32312.73</v>
      </c>
    </row>
    <row r="8" spans="1:51">
      <c r="B8" s="23" t="str">
        <f>TEXT(GETPIVOTDATA("[Measures].[Total Valor]",$B$4)/1000000,"€ # ##0,00")&amp;" M"</f>
        <v>€ 1,40 M</v>
      </c>
      <c r="D8" s="23" t="str">
        <f>TEXT(GETPIVOTDATA("[Measures].[Sum of Lucro]",$D$4)/1000000,"€ # ##0,00")&amp;" M"</f>
        <v>€ 0,44 M</v>
      </c>
      <c r="F8" s="7">
        <f>GETPIVOTDATA("[Measures].[Margem %]",$F$4)</f>
        <v>0.31476865954482908</v>
      </c>
      <c r="H8" s="9">
        <f>GETPIVOTDATA("[Measures].[YoY % (2025 vs 2024)]",$H$4)</f>
        <v>0.10377076716650264</v>
      </c>
      <c r="J8" s="9">
        <f>GETPIVOTDATA("[Measures].[Return Rate (€) %]",$J$4)</f>
        <v>0.10005342463585011</v>
      </c>
      <c r="M8">
        <f>GETPIVOTDATA("[Measures].[Produtos Ativos]",$M$4)</f>
        <v>30</v>
      </c>
      <c r="P8" s="12" t="s">
        <v>70</v>
      </c>
      <c r="Q8" s="10">
        <v>259680.98</v>
      </c>
      <c r="S8" s="12" t="str">
        <f t="shared" si="0"/>
        <v>Outdoor Gear</v>
      </c>
      <c r="T8" s="10">
        <v>259680.98</v>
      </c>
      <c r="U8">
        <f t="shared" si="2"/>
        <v>602492.39</v>
      </c>
      <c r="V8" s="7">
        <f t="shared" ref="V8:V11" si="3">U8/$U$10</f>
        <v>0.43113981841263499</v>
      </c>
      <c r="W8" t="str">
        <f t="shared" si="1"/>
        <v>A</v>
      </c>
      <c r="X8" s="6">
        <v>0.8</v>
      </c>
      <c r="AB8" s="12" t="s">
        <v>6</v>
      </c>
      <c r="AC8" s="3">
        <v>102984.08</v>
      </c>
      <c r="AD8" s="6">
        <v>0.3234641703843934</v>
      </c>
      <c r="AG8" s="12" t="s">
        <v>72</v>
      </c>
      <c r="AH8" s="28">
        <v>105969.52</v>
      </c>
      <c r="AI8" s="28">
        <v>36971.440000000002</v>
      </c>
      <c r="AJ8" s="28">
        <v>0.34888749142206177</v>
      </c>
      <c r="AL8" s="12" t="s">
        <v>72</v>
      </c>
      <c r="AM8">
        <v>37273.5</v>
      </c>
      <c r="AN8">
        <v>13581.25</v>
      </c>
      <c r="AO8">
        <v>0.36436744604075283</v>
      </c>
      <c r="AP8" t="str">
        <f t="shared" ref="AP8:AP33" si="4">IF(AM8&gt;=$AM$37,
    IF(AO8&gt;=$AM$38,"Star","Volume"),
    IF(AO8&gt;=$AM$38,"Niche","Problem"))</f>
        <v>Star</v>
      </c>
      <c r="AR8" s="12" t="s">
        <v>64</v>
      </c>
      <c r="AS8" s="28">
        <v>429183.81</v>
      </c>
      <c r="AT8" s="7"/>
      <c r="AX8" s="12" t="s">
        <v>69</v>
      </c>
      <c r="AY8" s="28">
        <v>34975.660000000003</v>
      </c>
    </row>
    <row r="9" spans="1:51">
      <c r="H9" t="str">
        <f>TEXT(SheetDashPerformace!H8,"+0%;-0%")</f>
        <v>+10%</v>
      </c>
      <c r="P9" s="12" t="s">
        <v>81</v>
      </c>
      <c r="Q9" s="10">
        <v>302990.07</v>
      </c>
      <c r="S9" s="12" t="str">
        <f t="shared" si="0"/>
        <v>Kitchen Pro</v>
      </c>
      <c r="T9" s="10">
        <v>302990.07</v>
      </c>
      <c r="U9">
        <f t="shared" si="2"/>
        <v>905482.46</v>
      </c>
      <c r="V9" s="7">
        <f t="shared" si="3"/>
        <v>0.64795763375571591</v>
      </c>
      <c r="W9" t="str">
        <f t="shared" si="1"/>
        <v>A</v>
      </c>
      <c r="X9" s="6">
        <v>0.8</v>
      </c>
      <c r="AB9" s="12" t="s">
        <v>7</v>
      </c>
      <c r="AC9" s="3">
        <v>166071.88</v>
      </c>
      <c r="AD9" s="6">
        <v>0.30421345263267929</v>
      </c>
      <c r="AG9" s="12" t="s">
        <v>102</v>
      </c>
      <c r="AH9" s="28">
        <v>28425.32</v>
      </c>
      <c r="AI9" s="28">
        <v>8526.98</v>
      </c>
      <c r="AJ9" s="28">
        <v>0.29997832917975942</v>
      </c>
      <c r="AL9" s="12" t="s">
        <v>102</v>
      </c>
      <c r="AM9">
        <v>13359.26</v>
      </c>
      <c r="AN9">
        <v>3753.26</v>
      </c>
      <c r="AO9">
        <v>0.28094819623242606</v>
      </c>
      <c r="AP9" t="str">
        <f t="shared" si="4"/>
        <v>Problem</v>
      </c>
      <c r="AR9" s="12" t="s">
        <v>65</v>
      </c>
      <c r="AS9" s="28">
        <v>184335.86</v>
      </c>
      <c r="AT9" s="7"/>
      <c r="AX9" s="12" t="s">
        <v>72</v>
      </c>
      <c r="AY9" s="28">
        <v>36971.440000000002</v>
      </c>
    </row>
    <row r="10" spans="1:51">
      <c r="P10" s="12" t="s">
        <v>74</v>
      </c>
      <c r="Q10" s="10">
        <v>491958.38</v>
      </c>
      <c r="S10" s="12" t="str">
        <f t="shared" si="0"/>
        <v>Smart Living</v>
      </c>
      <c r="T10" s="10">
        <v>491958.38</v>
      </c>
      <c r="U10" s="10">
        <f>T10+U9</f>
        <v>1397440.8399999999</v>
      </c>
      <c r="V10" s="7">
        <f t="shared" si="3"/>
        <v>1</v>
      </c>
      <c r="W10" t="str">
        <f t="shared" si="1"/>
        <v>C</v>
      </c>
      <c r="X10" s="6">
        <v>0.8</v>
      </c>
      <c r="AB10" s="12" t="s">
        <v>8</v>
      </c>
      <c r="AC10" s="3">
        <v>88766.57</v>
      </c>
      <c r="AD10" s="6">
        <v>0.36183373988653611</v>
      </c>
      <c r="AG10" s="12" t="s">
        <v>107</v>
      </c>
      <c r="AH10" s="28">
        <v>23646.95</v>
      </c>
      <c r="AI10" s="28">
        <v>6107.86</v>
      </c>
      <c r="AJ10" s="28">
        <v>0.2582937757300624</v>
      </c>
      <c r="AL10" s="12" t="s">
        <v>107</v>
      </c>
      <c r="AM10">
        <v>9262.6</v>
      </c>
      <c r="AN10">
        <v>2464.58</v>
      </c>
      <c r="AO10">
        <v>0.26607863882711114</v>
      </c>
      <c r="AP10" t="str">
        <f t="shared" si="4"/>
        <v>Problem</v>
      </c>
      <c r="AR10" s="12" t="s">
        <v>66</v>
      </c>
      <c r="AS10" s="28">
        <v>106350.54</v>
      </c>
      <c r="AT10" s="7"/>
      <c r="AX10" s="12" t="s">
        <v>75</v>
      </c>
      <c r="AY10" s="28">
        <v>40439.68</v>
      </c>
    </row>
    <row r="11" spans="1:51">
      <c r="F11" t="str">
        <f>IF(F8&gt;=0.2,"🟢 "&amp;TEXT(F8,"0%"),
IF(F8&gt;=0.15,"🟡 "&amp;TEXT(F8,"0%"),
"🔴 "&amp;TEXT(F8,"0%")))</f>
        <v>🟢 31%</v>
      </c>
      <c r="H11" t="str">
        <f>IF(H8&gt;0,"↑ "&amp;TEXT(H8,"0%"),"↓ "&amp;TEXT(H8,"0%"))</f>
        <v>↑ 10%</v>
      </c>
      <c r="P11" s="12" t="s">
        <v>42</v>
      </c>
      <c r="Q11" s="10">
        <v>1397440.84</v>
      </c>
      <c r="S11" s="12">
        <v>0</v>
      </c>
      <c r="T11" s="10">
        <v>0</v>
      </c>
      <c r="U11" s="10">
        <f>T11+U10</f>
        <v>1397440.8399999999</v>
      </c>
      <c r="V11" s="7">
        <f t="shared" si="3"/>
        <v>1</v>
      </c>
      <c r="W11" t="str">
        <f t="shared" si="1"/>
        <v>C</v>
      </c>
      <c r="X11" s="6">
        <v>0.8</v>
      </c>
      <c r="AB11" s="12" t="s">
        <v>9</v>
      </c>
      <c r="AC11" s="3">
        <v>93534.98</v>
      </c>
      <c r="AD11" s="6">
        <v>0.34073370197972996</v>
      </c>
      <c r="AG11" s="12" t="s">
        <v>121</v>
      </c>
      <c r="AH11" s="28">
        <v>10278.1</v>
      </c>
      <c r="AI11" s="28">
        <v>3551.21</v>
      </c>
      <c r="AJ11" s="28">
        <v>0.34551230285753204</v>
      </c>
      <c r="AL11" s="12" t="s">
        <v>121</v>
      </c>
      <c r="AM11">
        <v>4879.17</v>
      </c>
      <c r="AN11">
        <v>1929.55</v>
      </c>
      <c r="AO11">
        <v>0.39546685194408066</v>
      </c>
      <c r="AP11" t="str">
        <f t="shared" si="4"/>
        <v>Niche</v>
      </c>
      <c r="AR11" s="12" t="s">
        <v>67</v>
      </c>
      <c r="AS11" s="28">
        <v>55200.45</v>
      </c>
      <c r="AT11" s="7"/>
      <c r="AX11" s="12" t="s">
        <v>73</v>
      </c>
      <c r="AY11" s="28">
        <v>46210.7</v>
      </c>
    </row>
    <row r="12" spans="1:51">
      <c r="B12" s="11" t="str">
        <f ca="1">"ISCTE, "&amp;TEXT(NOW(),"dddd, dd/mmm/aaaa"" as ""h:mm")</f>
        <v>ISCTE, terça-feira, 31/mar/2026 as 12:56</v>
      </c>
      <c r="H12" t="str">
        <f>IF(H8&gt;0,"🟢  "&amp;TEXT(H8,"0%"),"🔴  "&amp;TEXT(H8,"0%"))</f>
        <v>🟢  10%</v>
      </c>
      <c r="S12" s="12"/>
      <c r="T12" s="10">
        <v>0</v>
      </c>
      <c r="X12" s="6"/>
      <c r="AB12" s="12" t="s">
        <v>10</v>
      </c>
      <c r="AC12" s="3">
        <v>93322.75</v>
      </c>
      <c r="AD12" s="6">
        <v>0.30210843551009803</v>
      </c>
      <c r="AG12" s="12" t="s">
        <v>116</v>
      </c>
      <c r="AH12" s="28">
        <v>3471.66</v>
      </c>
      <c r="AI12" s="28">
        <v>1045.0999999999999</v>
      </c>
      <c r="AJ12" s="28">
        <v>0.3010375439991243</v>
      </c>
      <c r="AL12" s="12" t="s">
        <v>116</v>
      </c>
      <c r="AM12">
        <v>2508.9</v>
      </c>
      <c r="AN12">
        <v>738.22</v>
      </c>
      <c r="AO12">
        <v>0.29424050380644906</v>
      </c>
      <c r="AP12" t="str">
        <f t="shared" si="4"/>
        <v>Problem</v>
      </c>
      <c r="AR12" s="12" t="s">
        <v>68</v>
      </c>
      <c r="AS12" s="28">
        <v>75563.7</v>
      </c>
      <c r="AX12" s="12" t="s">
        <v>42</v>
      </c>
      <c r="AY12" s="28">
        <v>190910.22</v>
      </c>
    </row>
    <row r="13" spans="1:51">
      <c r="S13" s="12"/>
      <c r="T13" s="10">
        <v>0</v>
      </c>
      <c r="X13" s="6"/>
      <c r="AB13" s="12" t="s">
        <v>11</v>
      </c>
      <c r="AC13" s="3">
        <v>273487.98</v>
      </c>
      <c r="AD13" s="6">
        <v>0.317860404687621</v>
      </c>
      <c r="AG13" s="12" t="s">
        <v>125</v>
      </c>
      <c r="AH13" s="28">
        <v>8657.18</v>
      </c>
      <c r="AI13" s="28">
        <v>2267.29</v>
      </c>
      <c r="AJ13" s="28">
        <v>0.26189706116772438</v>
      </c>
      <c r="AL13" s="12" t="s">
        <v>125</v>
      </c>
      <c r="AM13">
        <v>7501.41</v>
      </c>
      <c r="AN13">
        <v>2045.47</v>
      </c>
      <c r="AO13">
        <v>0.27267806985620036</v>
      </c>
      <c r="AP13" t="str">
        <f t="shared" si="4"/>
        <v>Problem</v>
      </c>
      <c r="AR13" s="12" t="s">
        <v>42</v>
      </c>
      <c r="AS13" s="28">
        <v>1397440.84</v>
      </c>
    </row>
    <row r="14" spans="1:51" ht="15.6">
      <c r="B14" s="21" t="s">
        <v>43</v>
      </c>
      <c r="D14" s="21" t="s">
        <v>44</v>
      </c>
      <c r="F14" s="22" t="s">
        <v>45</v>
      </c>
      <c r="S14" s="12"/>
      <c r="T14" s="10">
        <v>0</v>
      </c>
      <c r="X14" s="6"/>
      <c r="AB14" s="12" t="s">
        <v>12</v>
      </c>
      <c r="AC14" s="3">
        <v>70118.22</v>
      </c>
      <c r="AD14" s="6">
        <v>0.30847888038230292</v>
      </c>
      <c r="AG14" s="12" t="s">
        <v>82</v>
      </c>
      <c r="AH14" s="28">
        <v>73389.05</v>
      </c>
      <c r="AI14" s="28">
        <v>24412.799999999999</v>
      </c>
      <c r="AJ14" s="28">
        <v>0.33264908048271502</v>
      </c>
      <c r="AL14" s="12" t="s">
        <v>82</v>
      </c>
      <c r="AM14">
        <v>34918.35</v>
      </c>
      <c r="AN14">
        <v>12805.14</v>
      </c>
      <c r="AO14">
        <v>0.36671664039108376</v>
      </c>
      <c r="AP14" t="str">
        <f t="shared" si="4"/>
        <v>Star</v>
      </c>
    </row>
    <row r="15" spans="1:51">
      <c r="B15" t="s">
        <v>46</v>
      </c>
      <c r="D15" t="s">
        <v>44</v>
      </c>
      <c r="F15" t="s">
        <v>47</v>
      </c>
      <c r="S15" s="12"/>
      <c r="T15" s="10">
        <v>0</v>
      </c>
      <c r="X15" s="6"/>
      <c r="AB15" s="12" t="s">
        <v>13</v>
      </c>
      <c r="AC15" s="3">
        <v>81329.05</v>
      </c>
      <c r="AD15" s="6">
        <v>0.29109364980901659</v>
      </c>
      <c r="AG15" s="12" t="s">
        <v>101</v>
      </c>
      <c r="AH15" s="28">
        <v>55131.05</v>
      </c>
      <c r="AI15" s="28">
        <v>15618.66</v>
      </c>
      <c r="AJ15" s="28">
        <v>0.28330060827791231</v>
      </c>
      <c r="AL15" s="12" t="s">
        <v>101</v>
      </c>
      <c r="AM15">
        <v>28199.94</v>
      </c>
      <c r="AN15">
        <v>7542.17</v>
      </c>
      <c r="AO15">
        <v>0.2674534059292325</v>
      </c>
      <c r="AP15" t="str">
        <f t="shared" si="4"/>
        <v>Volume</v>
      </c>
    </row>
    <row r="16" spans="1:51">
      <c r="B16" s="3">
        <v>15697.559999999998</v>
      </c>
      <c r="D16" s="3">
        <v>155363.38</v>
      </c>
      <c r="F16" s="6">
        <v>0.67041303376097572</v>
      </c>
      <c r="S16" s="12"/>
      <c r="T16" s="10">
        <v>0</v>
      </c>
      <c r="X16" s="6"/>
      <c r="AB16" s="12" t="s">
        <v>14</v>
      </c>
      <c r="AC16" s="3">
        <v>65102.13</v>
      </c>
      <c r="AD16" s="6">
        <v>0.3293637243512616</v>
      </c>
      <c r="AG16" s="12" t="s">
        <v>103</v>
      </c>
      <c r="AH16" s="28">
        <v>25811.599999999999</v>
      </c>
      <c r="AI16" s="28">
        <v>8315.24</v>
      </c>
      <c r="AJ16" s="28">
        <v>0.32215128081947653</v>
      </c>
      <c r="AL16" s="12" t="s">
        <v>103</v>
      </c>
      <c r="AM16">
        <v>4052.2</v>
      </c>
      <c r="AN16">
        <v>2033.28</v>
      </c>
      <c r="AO16">
        <v>0.50177187700508363</v>
      </c>
      <c r="AP16" t="str">
        <f t="shared" si="4"/>
        <v>Niche</v>
      </c>
      <c r="AR16" t="s">
        <v>34</v>
      </c>
      <c r="AS16" t="s">
        <v>17</v>
      </c>
      <c r="AT16" t="s">
        <v>41</v>
      </c>
    </row>
    <row r="17" spans="1:46">
      <c r="S17" s="12"/>
      <c r="T17" s="10">
        <v>0</v>
      </c>
      <c r="X17" s="6"/>
      <c r="AB17" s="12" t="s">
        <v>15</v>
      </c>
      <c r="AC17" s="3">
        <v>161246.60999999999</v>
      </c>
      <c r="AD17" s="6">
        <v>0.29916070793674365</v>
      </c>
      <c r="AG17" s="12" t="s">
        <v>119</v>
      </c>
      <c r="AH17" s="28">
        <v>10336.540000000001</v>
      </c>
      <c r="AI17" s="28">
        <v>2798.74</v>
      </c>
      <c r="AJ17" s="28">
        <v>0.27076178295638575</v>
      </c>
      <c r="AL17" s="12" t="s">
        <v>119</v>
      </c>
      <c r="AM17">
        <v>8886.9</v>
      </c>
      <c r="AN17">
        <v>2286.7600000000002</v>
      </c>
      <c r="AO17">
        <v>0.25731807491926323</v>
      </c>
      <c r="AP17" t="str">
        <f t="shared" si="4"/>
        <v>Problem</v>
      </c>
      <c r="AR17" s="12" t="s">
        <v>63</v>
      </c>
      <c r="AS17">
        <f>VLOOKUP(AR17,AR7:AS12,2,0)</f>
        <v>546806.48</v>
      </c>
      <c r="AT17" s="7">
        <f>AS17/$AS$23</f>
        <v>0.3912913265079615</v>
      </c>
    </row>
    <row r="18" spans="1:46">
      <c r="S18" s="12"/>
      <c r="T18" s="10">
        <v>0</v>
      </c>
      <c r="X18" s="6"/>
      <c r="AB18" s="12" t="s">
        <v>16</v>
      </c>
      <c r="AC18" s="3">
        <v>131650.19</v>
      </c>
      <c r="AD18" s="6">
        <v>0.29699569746158361</v>
      </c>
      <c r="AG18" s="12" t="s">
        <v>75</v>
      </c>
      <c r="AH18" s="28">
        <v>119921.13</v>
      </c>
      <c r="AI18" s="28">
        <v>40439.68</v>
      </c>
      <c r="AJ18" s="28">
        <v>0.33721897050169558</v>
      </c>
      <c r="AL18" s="12" t="s">
        <v>75</v>
      </c>
      <c r="AM18">
        <v>53726.25</v>
      </c>
      <c r="AN18">
        <v>19587.21</v>
      </c>
      <c r="AO18">
        <v>0.36457430027221327</v>
      </c>
      <c r="AP18" t="str">
        <f t="shared" si="4"/>
        <v>Star</v>
      </c>
      <c r="AR18" s="12" t="s">
        <v>64</v>
      </c>
      <c r="AS18">
        <f t="shared" ref="AS18:AS23" si="5">VLOOKUP(AR18,AR8:AS13,2,0)</f>
        <v>429183.81</v>
      </c>
      <c r="AT18" s="7">
        <f t="shared" ref="AT18:AT23" si="6">AS18/$AS$23</f>
        <v>0.30712127319822713</v>
      </c>
    </row>
    <row r="19" spans="1:46">
      <c r="B19" s="24" t="str">
        <f>TEXT(GETPIVOTDATA("[Measures].[Growth]",$B$15)/1000,"€ # ##0")&amp;" K"</f>
        <v>€ 16 K</v>
      </c>
      <c r="D19" s="23" t="str">
        <f>TEXT(GETPIVOTDATA("[Measures].[Return Impact]",$D$15)/1000000,"€ # ##0,00")&amp;" M"</f>
        <v>€ 0,16 M</v>
      </c>
      <c r="F19" s="7">
        <f>GETPIVOTDATA("[Measures].[Top Products Share]",$F$15)</f>
        <v>0.67041303376097572</v>
      </c>
      <c r="S19" s="12"/>
      <c r="T19" s="10">
        <v>0</v>
      </c>
      <c r="X19" s="6"/>
      <c r="AB19" s="12" t="s">
        <v>42</v>
      </c>
      <c r="AC19" s="3">
        <v>1397440.84</v>
      </c>
      <c r="AD19" s="6">
        <v>0.31476865954482908</v>
      </c>
      <c r="AG19" s="12" t="s">
        <v>109</v>
      </c>
      <c r="AH19" s="28">
        <v>44747.79</v>
      </c>
      <c r="AI19" s="28">
        <v>11963.01</v>
      </c>
      <c r="AJ19" s="28">
        <v>0.26734303526498182</v>
      </c>
      <c r="AL19" s="12" t="s">
        <v>109</v>
      </c>
      <c r="AM19">
        <v>16713.12</v>
      </c>
      <c r="AN19">
        <v>5183.8</v>
      </c>
      <c r="AO19">
        <v>0.31016351225863276</v>
      </c>
      <c r="AP19" t="str">
        <f t="shared" si="4"/>
        <v>Problem</v>
      </c>
      <c r="AR19" s="12" t="s">
        <v>65</v>
      </c>
      <c r="AS19">
        <f t="shared" si="5"/>
        <v>184335.86</v>
      </c>
      <c r="AT19" s="7">
        <f t="shared" si="6"/>
        <v>0.1319095984056112</v>
      </c>
    </row>
    <row r="20" spans="1:46">
      <c r="S20" s="12"/>
      <c r="T20" s="10">
        <v>0</v>
      </c>
      <c r="X20" s="6"/>
      <c r="AG20" s="12" t="s">
        <v>99</v>
      </c>
      <c r="AH20" s="28">
        <v>58846.11</v>
      </c>
      <c r="AI20" s="28">
        <v>18190.330000000002</v>
      </c>
      <c r="AJ20" s="28">
        <v>0.30911694927668121</v>
      </c>
      <c r="AL20" s="12" t="s">
        <v>99</v>
      </c>
      <c r="AM20">
        <v>32555.34</v>
      </c>
      <c r="AN20">
        <v>11556.48</v>
      </c>
      <c r="AO20">
        <v>0.35497955174174189</v>
      </c>
      <c r="AP20" t="str">
        <f t="shared" si="4"/>
        <v>Star</v>
      </c>
      <c r="AR20" s="12" t="s">
        <v>66</v>
      </c>
      <c r="AS20">
        <f t="shared" si="5"/>
        <v>106350.54</v>
      </c>
      <c r="AT20" s="7">
        <f t="shared" si="6"/>
        <v>7.6103786976771046E-2</v>
      </c>
    </row>
    <row r="21" spans="1:46">
      <c r="S21" s="12"/>
      <c r="T21" s="10">
        <v>0</v>
      </c>
      <c r="X21" s="6"/>
      <c r="AG21" s="12" t="s">
        <v>80</v>
      </c>
      <c r="AH21" s="28">
        <v>115426.12</v>
      </c>
      <c r="AI21" s="28">
        <v>32312.73</v>
      </c>
      <c r="AJ21" s="28">
        <v>0.27994296265004837</v>
      </c>
      <c r="AL21" s="12" t="s">
        <v>80</v>
      </c>
      <c r="AM21">
        <v>52955.98</v>
      </c>
      <c r="AN21">
        <v>14889.55</v>
      </c>
      <c r="AO21">
        <v>0.2811684346130503</v>
      </c>
      <c r="AP21" t="str">
        <f t="shared" si="4"/>
        <v>Volume</v>
      </c>
      <c r="AR21" s="12" t="s">
        <v>67</v>
      </c>
      <c r="AS21">
        <f t="shared" si="5"/>
        <v>55200.45</v>
      </c>
      <c r="AT21" s="7">
        <f t="shared" si="6"/>
        <v>3.9501099738862643E-2</v>
      </c>
    </row>
    <row r="22" spans="1:46">
      <c r="S22" s="12"/>
      <c r="T22" s="10">
        <v>0</v>
      </c>
      <c r="X22" s="6"/>
      <c r="AG22" s="12" t="s">
        <v>88</v>
      </c>
      <c r="AH22" s="28">
        <v>23528.28</v>
      </c>
      <c r="AI22" s="28">
        <v>6993.82</v>
      </c>
      <c r="AJ22" s="28">
        <v>0.29725164780425939</v>
      </c>
      <c r="AL22" s="12" t="s">
        <v>88</v>
      </c>
      <c r="AM22">
        <v>14348.79</v>
      </c>
      <c r="AN22">
        <v>4150.53</v>
      </c>
      <c r="AO22">
        <v>0.28925993062829686</v>
      </c>
      <c r="AP22" t="str">
        <f t="shared" si="4"/>
        <v>Problem</v>
      </c>
      <c r="AR22" s="12" t="s">
        <v>68</v>
      </c>
      <c r="AS22">
        <f t="shared" si="5"/>
        <v>75563.7</v>
      </c>
      <c r="AT22" s="7">
        <f t="shared" si="6"/>
        <v>5.4072915172566439E-2</v>
      </c>
    </row>
    <row r="23" spans="1:46">
      <c r="S23" s="12"/>
      <c r="T23" s="10">
        <v>0</v>
      </c>
      <c r="X23" s="6"/>
      <c r="AG23" s="12" t="s">
        <v>73</v>
      </c>
      <c r="AH23" s="28">
        <v>153568.35999999999</v>
      </c>
      <c r="AI23" s="28">
        <v>46210.7</v>
      </c>
      <c r="AJ23" s="28">
        <v>0.30091289638047836</v>
      </c>
      <c r="AL23" s="12" t="s">
        <v>73</v>
      </c>
      <c r="AM23">
        <v>84130.19</v>
      </c>
      <c r="AN23">
        <v>23819.97</v>
      </c>
      <c r="AO23">
        <v>0.28313225014706372</v>
      </c>
      <c r="AP23" t="str">
        <f t="shared" si="4"/>
        <v>Volume</v>
      </c>
      <c r="AR23" s="31" t="s">
        <v>42</v>
      </c>
      <c r="AS23">
        <f t="shared" si="5"/>
        <v>1397440.84</v>
      </c>
      <c r="AT23" s="7">
        <f t="shared" si="6"/>
        <v>1</v>
      </c>
    </row>
    <row r="24" spans="1:46">
      <c r="A24" s="32"/>
      <c r="B24" s="32"/>
      <c r="C24" s="32"/>
      <c r="D24" s="32"/>
      <c r="E24" s="32"/>
      <c r="F24" s="32"/>
      <c r="S24" s="12"/>
      <c r="T24" s="10">
        <v>0</v>
      </c>
      <c r="X24" s="6"/>
      <c r="AG24" s="12" t="s">
        <v>105</v>
      </c>
      <c r="AH24" s="28">
        <v>30718.94</v>
      </c>
      <c r="AI24" s="28">
        <v>10502.09</v>
      </c>
      <c r="AJ24" s="28">
        <v>0.3418767053811102</v>
      </c>
      <c r="AL24" s="12" t="s">
        <v>105</v>
      </c>
      <c r="AM24">
        <v>16823.8</v>
      </c>
      <c r="AN24">
        <v>5601.77</v>
      </c>
      <c r="AO24">
        <v>0.33296698724426116</v>
      </c>
      <c r="AP24" t="str">
        <f t="shared" si="4"/>
        <v>Niche</v>
      </c>
    </row>
    <row r="25" spans="1:46">
      <c r="A25" s="36"/>
      <c r="B25" s="36"/>
      <c r="C25" s="33"/>
      <c r="D25" s="33"/>
      <c r="E25" s="33"/>
      <c r="F25" s="32"/>
      <c r="S25" s="12"/>
      <c r="T25" s="10">
        <v>0</v>
      </c>
      <c r="X25" s="6"/>
      <c r="AG25" s="12" t="s">
        <v>93</v>
      </c>
      <c r="AH25" s="28">
        <v>53713.49</v>
      </c>
      <c r="AI25" s="28">
        <v>16982.61</v>
      </c>
      <c r="AJ25" s="28">
        <v>0.31617029539506747</v>
      </c>
      <c r="AL25" s="12" t="s">
        <v>93</v>
      </c>
      <c r="AM25">
        <v>26569.29</v>
      </c>
      <c r="AN25">
        <v>8501.89</v>
      </c>
      <c r="AO25">
        <v>0.31998935613258761</v>
      </c>
      <c r="AP25" t="str">
        <f t="shared" si="4"/>
        <v>Star</v>
      </c>
    </row>
    <row r="26" spans="1:46">
      <c r="A26" s="33"/>
      <c r="B26" s="33"/>
      <c r="C26" s="32"/>
      <c r="D26" s="32"/>
      <c r="E26" s="32"/>
      <c r="F26" s="32"/>
      <c r="S26" s="12"/>
      <c r="T26" s="10">
        <v>0</v>
      </c>
      <c r="X26" s="6"/>
      <c r="AG26" s="12" t="s">
        <v>83</v>
      </c>
      <c r="AH26" s="28">
        <v>35380.720000000001</v>
      </c>
      <c r="AI26" s="28">
        <v>11177.28</v>
      </c>
      <c r="AJ26" s="28">
        <v>0.31591443023205862</v>
      </c>
      <c r="AL26" s="12" t="s">
        <v>83</v>
      </c>
      <c r="AM26">
        <v>20027.150000000001</v>
      </c>
      <c r="AN26">
        <v>6143.56</v>
      </c>
      <c r="AO26">
        <v>0.30676157116714059</v>
      </c>
      <c r="AP26" t="str">
        <f t="shared" si="4"/>
        <v>Problem</v>
      </c>
    </row>
    <row r="27" spans="1:46">
      <c r="A27" s="32"/>
      <c r="B27" s="34"/>
      <c r="C27" s="32"/>
      <c r="D27" s="32"/>
      <c r="E27" s="34"/>
      <c r="F27" s="35"/>
      <c r="S27" s="12"/>
      <c r="T27" s="10">
        <v>0</v>
      </c>
      <c r="X27" s="6"/>
      <c r="AG27" s="12" t="s">
        <v>113</v>
      </c>
      <c r="AH27" s="28">
        <v>28449.66</v>
      </c>
      <c r="AI27" s="28">
        <v>9783.15</v>
      </c>
      <c r="AJ27" s="28">
        <v>0.34387581433310627</v>
      </c>
      <c r="AL27" s="12" t="s">
        <v>113</v>
      </c>
      <c r="AM27">
        <v>15219.1</v>
      </c>
      <c r="AN27">
        <v>5033.54</v>
      </c>
      <c r="AO27">
        <v>0.33073834852258016</v>
      </c>
      <c r="AP27" t="str">
        <f t="shared" si="4"/>
        <v>Niche</v>
      </c>
    </row>
    <row r="28" spans="1:46">
      <c r="A28" s="32"/>
      <c r="B28" s="32"/>
      <c r="C28" s="32"/>
      <c r="D28" s="32"/>
      <c r="E28" s="34"/>
      <c r="F28" s="35"/>
      <c r="S28" s="12"/>
      <c r="T28" s="10">
        <v>0</v>
      </c>
      <c r="X28" s="6"/>
      <c r="AG28" s="12" t="s">
        <v>97</v>
      </c>
      <c r="AH28" s="28">
        <v>96753.25</v>
      </c>
      <c r="AI28" s="28">
        <v>29809.17</v>
      </c>
      <c r="AJ28" s="28">
        <v>0.30809476684245746</v>
      </c>
      <c r="AL28" s="12" t="s">
        <v>97</v>
      </c>
      <c r="AM28">
        <v>43719.73</v>
      </c>
      <c r="AN28">
        <v>12728.2</v>
      </c>
      <c r="AO28">
        <v>0.29113171558927742</v>
      </c>
      <c r="AP28" t="str">
        <f t="shared" si="4"/>
        <v>Volume</v>
      </c>
    </row>
    <row r="29" spans="1:46">
      <c r="A29" s="32"/>
      <c r="B29" s="32"/>
      <c r="C29" s="32"/>
      <c r="D29" s="32"/>
      <c r="E29" s="34"/>
      <c r="F29" s="35"/>
      <c r="S29" s="12"/>
      <c r="T29" s="10">
        <v>0</v>
      </c>
      <c r="AG29" s="12" t="s">
        <v>85</v>
      </c>
      <c r="AH29" s="28">
        <v>46071.21</v>
      </c>
      <c r="AI29" s="28">
        <v>17444.310000000001</v>
      </c>
      <c r="AJ29" s="28">
        <v>0.3786379823755443</v>
      </c>
      <c r="AL29" s="12" t="s">
        <v>85</v>
      </c>
      <c r="AM29">
        <v>30461.37</v>
      </c>
      <c r="AN29">
        <v>9466.58</v>
      </c>
      <c r="AO29">
        <v>0.31077328432700174</v>
      </c>
      <c r="AP29" t="str">
        <f t="shared" si="4"/>
        <v>Volume</v>
      </c>
    </row>
    <row r="30" spans="1:46">
      <c r="A30" s="32"/>
      <c r="B30" s="34"/>
      <c r="C30" s="32"/>
      <c r="D30" s="32"/>
      <c r="E30" s="32"/>
      <c r="F30" s="32"/>
      <c r="S30" s="12"/>
      <c r="T30" s="10">
        <v>0</v>
      </c>
      <c r="AG30" s="12" t="s">
        <v>77</v>
      </c>
      <c r="AH30" s="28">
        <v>103589.81</v>
      </c>
      <c r="AI30" s="28">
        <v>32164.48</v>
      </c>
      <c r="AJ30" s="28">
        <v>0.31049849401210411</v>
      </c>
      <c r="AL30" s="12" t="s">
        <v>77</v>
      </c>
      <c r="AM30">
        <v>35924.81</v>
      </c>
      <c r="AN30">
        <v>11908.56</v>
      </c>
      <c r="AO30">
        <v>0.3314856780035858</v>
      </c>
      <c r="AP30" t="str">
        <f t="shared" si="4"/>
        <v>Star</v>
      </c>
    </row>
    <row r="31" spans="1:46">
      <c r="A31" s="32"/>
      <c r="B31" s="32"/>
      <c r="C31" s="32"/>
      <c r="D31" s="32"/>
      <c r="E31" s="32"/>
      <c r="F31" s="32"/>
      <c r="S31" s="12"/>
      <c r="T31" s="10">
        <v>0</v>
      </c>
      <c r="AG31" s="12" t="s">
        <v>79</v>
      </c>
      <c r="AH31" s="28">
        <v>11333.52</v>
      </c>
      <c r="AI31" s="28">
        <v>4136.04</v>
      </c>
      <c r="AJ31" s="28">
        <v>0.36493869512737437</v>
      </c>
      <c r="AL31" s="12" t="s">
        <v>79</v>
      </c>
      <c r="AM31">
        <v>9009.84</v>
      </c>
      <c r="AN31">
        <v>2888.77</v>
      </c>
      <c r="AO31">
        <v>0.32062389565186505</v>
      </c>
      <c r="AP31" t="str">
        <f t="shared" si="4"/>
        <v>Niche</v>
      </c>
    </row>
    <row r="32" spans="1:46">
      <c r="A32" s="32"/>
      <c r="B32" s="32"/>
      <c r="C32" s="32"/>
      <c r="D32" s="32"/>
      <c r="E32" s="32"/>
      <c r="F32" s="32"/>
      <c r="S32" s="12"/>
      <c r="T32" s="10">
        <v>0</v>
      </c>
      <c r="AG32" s="12" t="s">
        <v>69</v>
      </c>
      <c r="AH32" s="28">
        <v>106619.91</v>
      </c>
      <c r="AI32" s="28">
        <v>34975.660000000003</v>
      </c>
      <c r="AJ32" s="28">
        <v>0.32804060704984656</v>
      </c>
      <c r="AL32" s="12" t="s">
        <v>69</v>
      </c>
      <c r="AM32">
        <v>52592.61</v>
      </c>
      <c r="AN32">
        <v>18904.810000000001</v>
      </c>
      <c r="AO32">
        <v>0.35945753595419588</v>
      </c>
      <c r="AP32" t="str">
        <f t="shared" si="4"/>
        <v>Star</v>
      </c>
    </row>
    <row r="33" spans="1:42">
      <c r="A33" s="32"/>
      <c r="B33" s="32"/>
      <c r="C33" s="32"/>
      <c r="D33" s="32"/>
      <c r="E33" s="32"/>
      <c r="F33" s="32"/>
      <c r="S33" s="12"/>
      <c r="T33" s="10">
        <v>0</v>
      </c>
      <c r="AG33" s="12" t="s">
        <v>123</v>
      </c>
      <c r="AH33" s="28">
        <v>12611.65</v>
      </c>
      <c r="AI33" s="28">
        <v>4270.9799999999996</v>
      </c>
      <c r="AJ33" s="28">
        <v>0.33865354652246132</v>
      </c>
      <c r="AL33" s="12" t="s">
        <v>123</v>
      </c>
      <c r="AM33">
        <v>5594.16</v>
      </c>
      <c r="AN33">
        <v>2054.16</v>
      </c>
      <c r="AO33">
        <v>0.36719721995795612</v>
      </c>
      <c r="AP33" t="str">
        <f t="shared" si="4"/>
        <v>Niche</v>
      </c>
    </row>
    <row r="34" spans="1:42">
      <c r="A34" s="32"/>
      <c r="B34" s="32"/>
      <c r="C34" s="32"/>
      <c r="D34" s="32"/>
      <c r="E34" s="32"/>
      <c r="F34" s="32"/>
      <c r="S34" s="12"/>
      <c r="T34" s="10">
        <v>0</v>
      </c>
      <c r="AG34" s="12" t="s">
        <v>42</v>
      </c>
      <c r="AH34" s="28">
        <v>1397440.84</v>
      </c>
      <c r="AI34" s="28">
        <v>439870.58</v>
      </c>
      <c r="AJ34" s="28">
        <v>0.31476865954482908</v>
      </c>
      <c r="AL34" s="12"/>
    </row>
    <row r="35" spans="1:42">
      <c r="A35" s="32"/>
      <c r="B35" s="32"/>
      <c r="C35" s="32"/>
      <c r="D35" s="32"/>
      <c r="E35" s="32"/>
      <c r="F35" s="32"/>
      <c r="S35" s="12"/>
      <c r="T35" s="10">
        <v>0</v>
      </c>
      <c r="AL35" s="12"/>
    </row>
    <row r="36" spans="1:42">
      <c r="A36" s="32"/>
      <c r="B36" s="32"/>
      <c r="C36" s="32"/>
      <c r="D36" s="32"/>
      <c r="E36" s="32"/>
      <c r="F36" s="32"/>
      <c r="S36" s="12"/>
      <c r="T36" s="10">
        <v>0</v>
      </c>
      <c r="AL36" s="12"/>
    </row>
    <row r="37" spans="1:42">
      <c r="A37" s="32"/>
      <c r="B37" s="32"/>
      <c r="C37" s="32"/>
      <c r="D37" s="32"/>
      <c r="E37" s="32"/>
      <c r="F37" s="32"/>
      <c r="S37" s="12"/>
      <c r="T37" s="10">
        <v>0</v>
      </c>
      <c r="AL37" t="s">
        <v>176</v>
      </c>
      <c r="AM37">
        <f>AVERAGE(AM7:AM33)</f>
        <v>24602.047407407405</v>
      </c>
    </row>
    <row r="38" spans="1:42">
      <c r="A38" s="32"/>
      <c r="B38" s="32"/>
      <c r="C38" s="32"/>
      <c r="D38" s="32"/>
      <c r="E38" s="32"/>
      <c r="F38" s="32"/>
      <c r="S38" s="12"/>
      <c r="T38" s="10">
        <v>0</v>
      </c>
      <c r="AL38" t="s">
        <v>177</v>
      </c>
      <c r="AM38">
        <f>AVERAGE(AO7:AO33)</f>
        <v>0.31784093523848728</v>
      </c>
    </row>
    <row r="39" spans="1:42">
      <c r="A39" s="32"/>
      <c r="B39" s="32"/>
      <c r="C39" s="32"/>
      <c r="D39" s="32"/>
      <c r="E39" s="32"/>
      <c r="F39" s="32"/>
      <c r="S39" s="12"/>
      <c r="T39" s="10">
        <v>0</v>
      </c>
      <c r="AL39" s="12"/>
    </row>
    <row r="40" spans="1:42">
      <c r="A40" s="32"/>
      <c r="B40" s="32"/>
      <c r="C40" s="32"/>
      <c r="D40" s="32"/>
      <c r="E40" s="32"/>
      <c r="F40" s="32"/>
      <c r="S40" s="12"/>
      <c r="T40" s="10">
        <v>0</v>
      </c>
      <c r="AL40" s="12"/>
    </row>
    <row r="41" spans="1:42">
      <c r="A41" s="32"/>
      <c r="B41" s="32"/>
      <c r="C41" s="32"/>
      <c r="D41" s="32"/>
      <c r="E41" s="32"/>
      <c r="F41" s="32"/>
      <c r="S41" s="12"/>
      <c r="T41" s="10">
        <v>0</v>
      </c>
      <c r="AL41" s="5" t="s">
        <v>34</v>
      </c>
      <c r="AM41" t="s">
        <v>183</v>
      </c>
    </row>
    <row r="42" spans="1:42">
      <c r="A42" s="32"/>
      <c r="B42" s="32"/>
      <c r="C42" s="32"/>
      <c r="D42" s="32"/>
      <c r="E42" s="32"/>
      <c r="F42" s="32"/>
      <c r="S42" s="12"/>
      <c r="T42" s="10">
        <v>0</v>
      </c>
      <c r="AL42" s="12" t="s">
        <v>181</v>
      </c>
      <c r="AM42" s="3">
        <v>273560.15000000002</v>
      </c>
    </row>
    <row r="43" spans="1:42">
      <c r="A43" s="32"/>
      <c r="B43" s="32"/>
      <c r="C43" s="32"/>
      <c r="D43" s="32"/>
      <c r="E43" s="32"/>
      <c r="F43" s="32"/>
      <c r="S43" s="12"/>
      <c r="T43" s="10">
        <v>0</v>
      </c>
      <c r="AL43" s="12" t="s">
        <v>182</v>
      </c>
      <c r="AM43" s="3">
        <v>239467.21</v>
      </c>
    </row>
    <row r="44" spans="1:42">
      <c r="A44" s="32"/>
      <c r="B44" s="32"/>
      <c r="C44" s="32"/>
      <c r="D44" s="32"/>
      <c r="E44" s="32"/>
      <c r="F44" s="32"/>
      <c r="S44" s="12"/>
      <c r="T44" s="10">
        <v>0</v>
      </c>
      <c r="AL44" s="12" t="s">
        <v>180</v>
      </c>
      <c r="AM44" s="3">
        <v>95649.65</v>
      </c>
    </row>
    <row r="45" spans="1:42">
      <c r="A45" s="32"/>
      <c r="B45" s="32"/>
      <c r="C45" s="32"/>
      <c r="D45" s="32"/>
      <c r="E45" s="32"/>
      <c r="F45" s="32"/>
      <c r="S45" s="12"/>
      <c r="T45" s="10">
        <v>0</v>
      </c>
      <c r="AL45" s="12" t="s">
        <v>179</v>
      </c>
      <c r="AM45" s="3">
        <v>55578.270000000004</v>
      </c>
    </row>
    <row r="46" spans="1:42">
      <c r="A46" s="32"/>
      <c r="B46" s="32"/>
      <c r="C46" s="32"/>
      <c r="D46" s="32"/>
      <c r="E46" s="32"/>
      <c r="F46" s="32"/>
      <c r="S46" s="12"/>
      <c r="T46" s="10">
        <v>0</v>
      </c>
      <c r="AL46" s="12" t="s">
        <v>42</v>
      </c>
      <c r="AM46" s="28">
        <v>664255.28</v>
      </c>
    </row>
    <row r="47" spans="1:42">
      <c r="A47" s="32"/>
      <c r="B47" s="32"/>
      <c r="C47" s="32"/>
      <c r="D47" s="32"/>
      <c r="E47" s="32"/>
      <c r="F47" s="32"/>
      <c r="S47" s="12"/>
      <c r="T47" s="10">
        <v>0</v>
      </c>
    </row>
    <row r="48" spans="1:42">
      <c r="A48" s="32"/>
      <c r="B48" s="32"/>
      <c r="C48" s="32"/>
      <c r="D48" s="32"/>
      <c r="E48" s="32"/>
      <c r="F48" s="32"/>
      <c r="S48" s="12"/>
      <c r="T48" s="10">
        <v>0</v>
      </c>
    </row>
    <row r="49" spans="1:38">
      <c r="A49" s="32"/>
      <c r="B49" s="32"/>
      <c r="C49" s="32"/>
      <c r="D49" s="32"/>
      <c r="E49" s="32"/>
      <c r="F49" s="32"/>
      <c r="S49" s="12"/>
      <c r="T49" s="10">
        <v>0</v>
      </c>
    </row>
    <row r="50" spans="1:38">
      <c r="A50" s="32"/>
      <c r="B50" s="32"/>
      <c r="C50" s="32"/>
      <c r="D50" s="32"/>
      <c r="E50" s="32"/>
      <c r="F50" s="32"/>
      <c r="S50" s="12"/>
      <c r="T50" s="10">
        <v>0</v>
      </c>
    </row>
    <row r="51" spans="1:38">
      <c r="A51" s="32"/>
      <c r="B51" s="32"/>
      <c r="C51" s="32"/>
      <c r="D51" s="32"/>
      <c r="E51" s="32"/>
      <c r="F51" s="32"/>
      <c r="S51" s="12"/>
      <c r="T51" s="10">
        <v>0</v>
      </c>
    </row>
    <row r="52" spans="1:38">
      <c r="A52" s="32"/>
      <c r="B52" s="32"/>
      <c r="C52" s="32"/>
      <c r="D52" s="32"/>
      <c r="E52" s="32"/>
      <c r="F52" s="32"/>
      <c r="S52" s="12"/>
      <c r="T52" s="10">
        <v>0</v>
      </c>
    </row>
    <row r="53" spans="1:38">
      <c r="A53" s="32"/>
      <c r="B53" s="34"/>
      <c r="C53" s="35"/>
      <c r="D53" s="32"/>
      <c r="E53" s="32"/>
      <c r="F53" s="32"/>
      <c r="S53" s="12"/>
      <c r="T53" s="10">
        <v>0</v>
      </c>
    </row>
    <row r="54" spans="1:38">
      <c r="A54" s="32"/>
      <c r="B54" s="34"/>
      <c r="C54" s="35"/>
      <c r="D54" s="32"/>
      <c r="E54" s="32"/>
      <c r="F54" s="32"/>
      <c r="S54" s="12"/>
      <c r="T54" s="10">
        <v>0</v>
      </c>
    </row>
    <row r="55" spans="1:38">
      <c r="A55" s="32"/>
      <c r="B55" s="34"/>
      <c r="C55" s="35"/>
      <c r="D55" s="32"/>
      <c r="E55" s="32"/>
      <c r="F55" s="32"/>
      <c r="S55" s="12"/>
      <c r="T55" s="10">
        <v>0</v>
      </c>
    </row>
    <row r="56" spans="1:38">
      <c r="A56" s="32"/>
      <c r="B56" s="32"/>
      <c r="C56" s="32"/>
      <c r="D56" s="32"/>
      <c r="E56" s="32"/>
      <c r="F56" s="32"/>
      <c r="S56" s="12"/>
      <c r="T56" s="10">
        <v>0</v>
      </c>
    </row>
    <row r="57" spans="1:38">
      <c r="A57" s="32"/>
      <c r="B57" s="32"/>
      <c r="C57" s="32"/>
      <c r="D57" s="32"/>
      <c r="E57" s="32"/>
      <c r="F57" s="32"/>
      <c r="S57" s="12"/>
      <c r="T57" s="10">
        <v>0</v>
      </c>
    </row>
    <row r="58" spans="1:38">
      <c r="A58" s="32"/>
      <c r="B58" s="32"/>
      <c r="C58" s="32"/>
      <c r="D58" s="32"/>
      <c r="E58" s="32"/>
      <c r="F58" s="32"/>
      <c r="S58" s="12"/>
      <c r="T58" s="10">
        <v>0</v>
      </c>
    </row>
    <row r="59" spans="1:38">
      <c r="A59" s="32"/>
      <c r="B59" s="32"/>
      <c r="C59" s="32"/>
      <c r="D59" s="32"/>
      <c r="E59" s="32"/>
      <c r="F59" s="32"/>
      <c r="S59" s="12"/>
      <c r="T59" s="10">
        <v>0</v>
      </c>
      <c r="AL59" s="12"/>
    </row>
    <row r="60" spans="1:38">
      <c r="A60" s="32"/>
      <c r="B60" s="32"/>
      <c r="C60" s="32"/>
      <c r="D60" s="32"/>
      <c r="E60" s="32"/>
      <c r="F60" s="32"/>
      <c r="S60" s="12"/>
      <c r="T60" s="10">
        <v>0</v>
      </c>
      <c r="AL60" s="12"/>
    </row>
    <row r="61" spans="1:38">
      <c r="A61" s="32"/>
      <c r="B61" s="32"/>
      <c r="C61" s="32"/>
      <c r="D61" s="32"/>
      <c r="E61" s="32"/>
      <c r="F61" s="32"/>
      <c r="S61" s="12"/>
      <c r="T61" s="10">
        <v>0</v>
      </c>
      <c r="AL61" s="12"/>
    </row>
    <row r="62" spans="1:38">
      <c r="A62" s="32"/>
      <c r="B62" s="32"/>
      <c r="C62" s="32"/>
      <c r="D62" s="32"/>
      <c r="E62" s="32"/>
      <c r="F62" s="32"/>
      <c r="S62" s="12"/>
      <c r="T62" s="10">
        <v>0</v>
      </c>
      <c r="AL62" s="12"/>
    </row>
    <row r="63" spans="1:38">
      <c r="A63" s="32"/>
      <c r="B63" s="32"/>
      <c r="C63" s="32"/>
      <c r="D63" s="32"/>
      <c r="E63" s="32"/>
      <c r="F63" s="32"/>
      <c r="S63" s="12"/>
      <c r="T63" s="10">
        <v>0</v>
      </c>
      <c r="AL63" s="12"/>
    </row>
    <row r="64" spans="1:38">
      <c r="A64" s="32"/>
      <c r="B64" s="32"/>
      <c r="C64" s="32"/>
      <c r="D64" s="32"/>
      <c r="E64" s="32"/>
      <c r="F64" s="32"/>
      <c r="S64" s="12"/>
      <c r="T64" s="10">
        <v>0</v>
      </c>
      <c r="AL64" s="12"/>
    </row>
    <row r="65" spans="1:38">
      <c r="A65" s="32"/>
      <c r="B65" s="32"/>
      <c r="C65" s="32"/>
      <c r="D65" s="32"/>
      <c r="E65" s="32"/>
      <c r="F65" s="32"/>
      <c r="S65" s="12"/>
      <c r="T65" s="10">
        <v>0</v>
      </c>
      <c r="AL65" s="12"/>
    </row>
    <row r="66" spans="1:38">
      <c r="A66" s="32"/>
      <c r="B66" s="32"/>
      <c r="C66" s="32"/>
      <c r="D66" s="32"/>
      <c r="E66" s="32"/>
      <c r="F66" s="32"/>
      <c r="S66" s="12"/>
      <c r="T66" s="10">
        <v>0</v>
      </c>
      <c r="AL66" s="12"/>
    </row>
    <row r="67" spans="1:38">
      <c r="A67" s="32"/>
      <c r="B67" s="32"/>
      <c r="C67" s="32"/>
      <c r="D67" s="32"/>
      <c r="E67" s="32"/>
      <c r="F67" s="32"/>
      <c r="S67" s="12"/>
      <c r="T67" s="10">
        <v>0</v>
      </c>
      <c r="AL67" s="12"/>
    </row>
    <row r="68" spans="1:38">
      <c r="A68" s="32"/>
      <c r="B68" s="32"/>
      <c r="C68" s="32"/>
      <c r="D68" s="32"/>
      <c r="E68" s="32"/>
      <c r="F68" s="32"/>
      <c r="S68" s="12"/>
      <c r="T68" s="10">
        <v>0</v>
      </c>
      <c r="AL68" s="12"/>
    </row>
    <row r="69" spans="1:38">
      <c r="A69" s="32"/>
      <c r="B69" s="32"/>
      <c r="C69" s="32"/>
      <c r="D69" s="32"/>
      <c r="E69" s="32"/>
      <c r="F69" s="32"/>
      <c r="S69" s="12"/>
      <c r="T69" s="10">
        <v>0</v>
      </c>
      <c r="AL69" s="12"/>
    </row>
    <row r="70" spans="1:38">
      <c r="A70" s="32"/>
      <c r="B70" s="32"/>
      <c r="C70" s="32"/>
      <c r="D70" s="32"/>
      <c r="E70" s="32"/>
      <c r="F70" s="32"/>
      <c r="S70" s="12"/>
      <c r="T70" s="10">
        <v>0</v>
      </c>
      <c r="AL70" s="12"/>
    </row>
    <row r="71" spans="1:38">
      <c r="A71" s="32"/>
      <c r="B71" s="32"/>
      <c r="C71" s="32"/>
      <c r="D71" s="32"/>
      <c r="E71" s="32"/>
      <c r="F71" s="32"/>
      <c r="S71" s="12"/>
      <c r="T71" s="10">
        <v>0</v>
      </c>
      <c r="AL71" s="12"/>
    </row>
    <row r="72" spans="1:38">
      <c r="A72" s="32"/>
      <c r="B72" s="32"/>
      <c r="C72" s="32"/>
      <c r="D72" s="32"/>
      <c r="E72" s="32"/>
      <c r="F72" s="32"/>
      <c r="S72" s="12"/>
      <c r="T72" s="10">
        <v>0</v>
      </c>
      <c r="AL72" s="12"/>
    </row>
    <row r="73" spans="1:38">
      <c r="A73" s="32"/>
      <c r="B73" s="32"/>
      <c r="C73" s="32"/>
      <c r="D73" s="32"/>
      <c r="E73" s="32"/>
      <c r="F73" s="32"/>
      <c r="S73" s="12"/>
      <c r="T73" s="10">
        <v>0</v>
      </c>
      <c r="AL73" s="12"/>
    </row>
    <row r="74" spans="1:38">
      <c r="A74" s="32"/>
      <c r="B74" s="32"/>
      <c r="C74" s="32"/>
      <c r="D74" s="32"/>
      <c r="E74" s="32"/>
      <c r="F74" s="32"/>
      <c r="S74" s="12"/>
      <c r="T74" s="10">
        <v>0</v>
      </c>
      <c r="AL74" s="12"/>
    </row>
    <row r="75" spans="1:38">
      <c r="A75" s="32"/>
      <c r="B75" s="32"/>
      <c r="C75" s="32"/>
      <c r="D75" s="32"/>
      <c r="E75" s="32"/>
      <c r="F75" s="32"/>
      <c r="S75" s="12"/>
      <c r="T75" s="10">
        <v>0</v>
      </c>
      <c r="AL75" s="12"/>
    </row>
    <row r="76" spans="1:38">
      <c r="A76" s="32"/>
      <c r="B76" s="32"/>
      <c r="C76" s="32"/>
      <c r="D76" s="32"/>
      <c r="E76" s="32"/>
      <c r="F76" s="32"/>
      <c r="S76" s="12"/>
      <c r="T76" s="10">
        <v>0</v>
      </c>
      <c r="AL76" s="12"/>
    </row>
    <row r="77" spans="1:38">
      <c r="A77" s="32"/>
      <c r="B77" s="32"/>
      <c r="C77" s="32"/>
      <c r="D77" s="32"/>
      <c r="E77" s="32"/>
      <c r="F77" s="32"/>
      <c r="S77" s="12"/>
      <c r="T77" s="10">
        <v>0</v>
      </c>
      <c r="AL77" s="12"/>
    </row>
    <row r="78" spans="1:38">
      <c r="A78" s="32"/>
      <c r="B78" s="32"/>
      <c r="C78" s="32"/>
      <c r="D78" s="32"/>
      <c r="E78" s="32"/>
      <c r="F78" s="32"/>
      <c r="S78" s="12"/>
      <c r="T78" s="10">
        <v>0</v>
      </c>
      <c r="AL78" s="12"/>
    </row>
    <row r="79" spans="1:38">
      <c r="A79" s="32"/>
      <c r="B79" s="32"/>
      <c r="C79" s="32"/>
      <c r="D79" s="32"/>
      <c r="E79" s="32"/>
      <c r="F79" s="32"/>
      <c r="S79" s="12"/>
      <c r="T79" s="10">
        <v>0</v>
      </c>
      <c r="AL79" s="12"/>
    </row>
    <row r="80" spans="1:38">
      <c r="A80" s="32"/>
      <c r="B80" s="32"/>
      <c r="C80" s="32"/>
      <c r="D80" s="32"/>
      <c r="E80" s="32"/>
      <c r="F80" s="32"/>
      <c r="S80" s="12"/>
      <c r="T80" s="10">
        <v>0</v>
      </c>
      <c r="AL80" s="12"/>
    </row>
    <row r="81" spans="1:38">
      <c r="A81" s="32"/>
      <c r="B81" s="32"/>
      <c r="C81" s="32"/>
      <c r="D81" s="32"/>
      <c r="E81" s="32"/>
      <c r="F81" s="32"/>
      <c r="S81" s="12"/>
      <c r="T81" s="10">
        <v>0</v>
      </c>
      <c r="AL81" s="12"/>
    </row>
    <row r="82" spans="1:38">
      <c r="A82" s="32"/>
      <c r="B82" s="32"/>
      <c r="C82" s="32"/>
      <c r="D82" s="32"/>
      <c r="E82" s="32"/>
      <c r="F82" s="32"/>
      <c r="S82" s="12"/>
      <c r="T82" s="10">
        <v>0</v>
      </c>
      <c r="AL82" s="12"/>
    </row>
    <row r="83" spans="1:38">
      <c r="A83" s="32"/>
      <c r="B83" s="32"/>
      <c r="C83" s="32"/>
      <c r="D83" s="32"/>
      <c r="E83" s="32"/>
      <c r="F83" s="32"/>
      <c r="S83" s="12"/>
      <c r="T83" s="10">
        <v>0</v>
      </c>
      <c r="AL83" s="12"/>
    </row>
    <row r="84" spans="1:38">
      <c r="A84" s="32"/>
      <c r="B84" s="32"/>
      <c r="C84" s="32"/>
      <c r="D84" s="32"/>
      <c r="E84" s="32"/>
      <c r="F84" s="32"/>
      <c r="S84" s="12"/>
      <c r="T84" s="10">
        <v>0</v>
      </c>
      <c r="AL84" s="12"/>
    </row>
    <row r="85" spans="1:38">
      <c r="A85" s="32"/>
      <c r="B85" s="32"/>
      <c r="C85" s="32"/>
      <c r="D85" s="32"/>
      <c r="E85" s="32"/>
      <c r="F85" s="32"/>
      <c r="S85" s="12"/>
      <c r="T85" s="10">
        <v>0</v>
      </c>
      <c r="AL85" s="12"/>
    </row>
    <row r="86" spans="1:38">
      <c r="A86" s="32"/>
      <c r="B86" s="32"/>
      <c r="C86" s="32"/>
      <c r="D86" s="32"/>
      <c r="E86" s="32"/>
      <c r="F86" s="32"/>
      <c r="S86" s="12"/>
      <c r="T86" s="10">
        <v>0</v>
      </c>
      <c r="AL86" s="12"/>
    </row>
    <row r="87" spans="1:38">
      <c r="A87" s="32"/>
      <c r="B87" s="32"/>
      <c r="C87" s="32"/>
      <c r="D87" s="32"/>
      <c r="E87" s="32"/>
      <c r="F87" s="32"/>
      <c r="S87" s="12"/>
      <c r="T87" s="10">
        <v>0</v>
      </c>
      <c r="AL87" s="12"/>
    </row>
    <row r="88" spans="1:38">
      <c r="A88" s="32"/>
      <c r="B88" s="32"/>
      <c r="C88" s="32"/>
      <c r="D88" s="32"/>
      <c r="E88" s="32"/>
      <c r="F88" s="32"/>
      <c r="S88" s="12"/>
      <c r="T88" s="10">
        <v>0</v>
      </c>
      <c r="AL88" s="12"/>
    </row>
    <row r="89" spans="1:38">
      <c r="A89" s="32"/>
      <c r="B89" s="32"/>
      <c r="C89" s="32"/>
      <c r="D89" s="32"/>
      <c r="E89" s="32"/>
      <c r="F89" s="32"/>
      <c r="S89" s="12"/>
      <c r="T89" s="10">
        <v>0</v>
      </c>
      <c r="AL89" s="12"/>
    </row>
    <row r="90" spans="1:38">
      <c r="A90" s="32"/>
      <c r="B90" s="32"/>
      <c r="C90" s="32"/>
      <c r="D90" s="32"/>
      <c r="E90" s="32"/>
      <c r="F90" s="32"/>
      <c r="S90" s="12"/>
      <c r="T90" s="10">
        <v>0</v>
      </c>
      <c r="AL90" s="12"/>
    </row>
    <row r="91" spans="1:38">
      <c r="A91" s="32"/>
      <c r="B91" s="32"/>
      <c r="C91" s="32"/>
      <c r="D91" s="32"/>
      <c r="E91" s="32"/>
      <c r="F91" s="32"/>
      <c r="S91" s="12"/>
      <c r="T91" s="10">
        <v>0</v>
      </c>
      <c r="AL91" s="12"/>
    </row>
    <row r="92" spans="1:38">
      <c r="A92" s="32"/>
      <c r="B92" s="32"/>
      <c r="C92" s="32"/>
      <c r="D92" s="32"/>
      <c r="E92" s="32"/>
      <c r="F92" s="32"/>
      <c r="S92" s="12"/>
      <c r="T92" s="10">
        <v>0</v>
      </c>
      <c r="AL92" s="12"/>
    </row>
    <row r="93" spans="1:38">
      <c r="A93" s="32"/>
      <c r="B93" s="32"/>
      <c r="C93" s="32"/>
      <c r="D93" s="32"/>
      <c r="E93" s="32"/>
      <c r="F93" s="32"/>
      <c r="S93" s="12"/>
      <c r="T93" s="10">
        <v>0</v>
      </c>
      <c r="AL93" s="12"/>
    </row>
    <row r="94" spans="1:38">
      <c r="A94" s="32"/>
      <c r="B94" s="32"/>
      <c r="C94" s="32"/>
      <c r="D94" s="32"/>
      <c r="E94" s="32"/>
      <c r="F94" s="32"/>
      <c r="S94" s="12"/>
      <c r="T94" s="10">
        <v>0</v>
      </c>
      <c r="AL94" s="12"/>
    </row>
    <row r="95" spans="1:38">
      <c r="A95" s="32"/>
      <c r="B95" s="32"/>
      <c r="C95" s="32"/>
      <c r="D95" s="32"/>
      <c r="E95" s="32"/>
      <c r="F95" s="32"/>
      <c r="S95" s="12"/>
      <c r="T95" s="10">
        <v>0</v>
      </c>
      <c r="AL95" s="12"/>
    </row>
    <row r="96" spans="1:38">
      <c r="A96" s="32"/>
      <c r="B96" s="32"/>
      <c r="C96" s="32"/>
      <c r="D96" s="32"/>
      <c r="E96" s="32"/>
      <c r="F96" s="32"/>
      <c r="S96" s="12"/>
      <c r="T96" s="10">
        <v>0</v>
      </c>
      <c r="AL96" s="12"/>
    </row>
    <row r="97" spans="1:38">
      <c r="A97" s="32"/>
      <c r="B97" s="32"/>
      <c r="C97" s="32"/>
      <c r="D97" s="32"/>
      <c r="E97" s="32"/>
      <c r="F97" s="32"/>
      <c r="S97" s="12"/>
      <c r="T97" s="10">
        <v>0</v>
      </c>
      <c r="AL97" s="12"/>
    </row>
    <row r="98" spans="1:38">
      <c r="A98" s="32"/>
      <c r="B98" s="32"/>
      <c r="C98" s="32"/>
      <c r="D98" s="32"/>
      <c r="E98" s="32"/>
      <c r="F98" s="32"/>
      <c r="S98" s="12"/>
      <c r="T98" s="10">
        <v>0</v>
      </c>
      <c r="AL98" s="12"/>
    </row>
    <row r="99" spans="1:38">
      <c r="A99" s="32"/>
      <c r="B99" s="32"/>
      <c r="C99" s="32"/>
      <c r="D99" s="32"/>
      <c r="E99" s="32"/>
      <c r="F99" s="32"/>
      <c r="S99" s="12"/>
      <c r="T99" s="10">
        <v>0</v>
      </c>
      <c r="AL99" s="12"/>
    </row>
    <row r="100" spans="1:38">
      <c r="A100" s="32"/>
      <c r="B100" s="32"/>
      <c r="C100" s="32"/>
      <c r="D100" s="32"/>
      <c r="E100" s="32"/>
      <c r="F100" s="32"/>
      <c r="S100" s="12"/>
      <c r="T100" s="10">
        <v>0</v>
      </c>
      <c r="AL100" s="12"/>
    </row>
    <row r="101" spans="1:38">
      <c r="A101" s="32"/>
      <c r="B101" s="32"/>
      <c r="C101" s="32"/>
      <c r="D101" s="32"/>
      <c r="E101" s="32"/>
      <c r="F101" s="32"/>
      <c r="S101" s="12"/>
      <c r="T101" s="10">
        <v>0</v>
      </c>
      <c r="AL101" s="12"/>
    </row>
    <row r="102" spans="1:38">
      <c r="A102" s="32"/>
      <c r="B102" s="32"/>
      <c r="C102" s="32"/>
      <c r="D102" s="32"/>
      <c r="E102" s="32"/>
      <c r="F102" s="32"/>
      <c r="S102" s="12"/>
      <c r="T102" s="10">
        <v>0</v>
      </c>
      <c r="AL102" s="12"/>
    </row>
    <row r="103" spans="1:38">
      <c r="A103" s="32"/>
      <c r="B103" s="32"/>
      <c r="C103" s="32"/>
      <c r="D103" s="32"/>
      <c r="E103" s="32"/>
      <c r="F103" s="32"/>
      <c r="S103" s="12"/>
      <c r="T103" s="10">
        <v>0</v>
      </c>
      <c r="AL103" s="12"/>
    </row>
    <row r="104" spans="1:38">
      <c r="A104" s="32"/>
      <c r="B104" s="32"/>
      <c r="C104" s="32"/>
      <c r="D104" s="32"/>
      <c r="E104" s="32"/>
      <c r="F104" s="32"/>
      <c r="S104" s="12"/>
      <c r="T104" s="10">
        <v>0</v>
      </c>
      <c r="AL104" s="12"/>
    </row>
    <row r="105" spans="1:38">
      <c r="A105" s="32"/>
      <c r="B105" s="32"/>
      <c r="C105" s="32"/>
      <c r="D105" s="32"/>
      <c r="E105" s="32"/>
      <c r="F105" s="32"/>
      <c r="S105" s="12"/>
      <c r="T105" s="10">
        <v>0</v>
      </c>
      <c r="AL105" s="12"/>
    </row>
    <row r="106" spans="1:38">
      <c r="A106" s="32"/>
      <c r="B106" s="32"/>
      <c r="C106" s="32"/>
      <c r="D106" s="32"/>
      <c r="E106" s="32"/>
      <c r="F106" s="32"/>
      <c r="S106" s="12"/>
      <c r="T106" s="10">
        <v>0</v>
      </c>
      <c r="AL106" s="12"/>
    </row>
    <row r="107" spans="1:38">
      <c r="A107" s="32"/>
      <c r="B107" s="32"/>
      <c r="C107" s="32"/>
      <c r="D107" s="32"/>
      <c r="E107" s="32"/>
      <c r="F107" s="32"/>
      <c r="S107" s="12"/>
      <c r="T107" s="10">
        <v>0</v>
      </c>
      <c r="AL107" s="12"/>
    </row>
    <row r="108" spans="1:38">
      <c r="A108" s="32"/>
      <c r="B108" s="32"/>
      <c r="C108" s="32"/>
      <c r="D108" s="32"/>
      <c r="E108" s="32"/>
      <c r="F108" s="32"/>
      <c r="S108" s="12"/>
      <c r="T108" s="10">
        <v>0</v>
      </c>
      <c r="AL108" s="12"/>
    </row>
    <row r="109" spans="1:38">
      <c r="A109" s="32"/>
      <c r="B109" s="32"/>
      <c r="C109" s="32"/>
      <c r="D109" s="32"/>
      <c r="E109" s="32"/>
      <c r="F109" s="32"/>
      <c r="S109" s="12"/>
      <c r="T109" s="10">
        <v>0</v>
      </c>
      <c r="AL109" s="12"/>
    </row>
    <row r="110" spans="1:38">
      <c r="A110" s="32"/>
      <c r="B110" s="32"/>
      <c r="C110" s="32"/>
      <c r="D110" s="32"/>
      <c r="E110" s="32"/>
      <c r="F110" s="32"/>
      <c r="S110" s="12"/>
      <c r="T110" s="10">
        <v>0</v>
      </c>
      <c r="AL110" s="12"/>
    </row>
    <row r="111" spans="1:38">
      <c r="A111" s="32"/>
      <c r="B111" s="32"/>
      <c r="C111" s="32"/>
      <c r="D111" s="32"/>
      <c r="E111" s="32"/>
      <c r="F111" s="32"/>
      <c r="S111" s="12"/>
      <c r="T111" s="10">
        <v>0</v>
      </c>
      <c r="AL111" s="12"/>
    </row>
    <row r="112" spans="1:38">
      <c r="A112" s="32"/>
      <c r="B112" s="32"/>
      <c r="C112" s="32"/>
      <c r="D112" s="32"/>
      <c r="E112" s="32"/>
      <c r="F112" s="32"/>
      <c r="S112" s="12"/>
      <c r="T112" s="10">
        <v>0</v>
      </c>
      <c r="AL112" s="12"/>
    </row>
    <row r="113" spans="1:38">
      <c r="A113" s="32"/>
      <c r="B113" s="32"/>
      <c r="C113" s="32"/>
      <c r="D113" s="32"/>
      <c r="E113" s="32"/>
      <c r="F113" s="32"/>
      <c r="S113" s="12"/>
      <c r="T113" s="10">
        <v>0</v>
      </c>
      <c r="AL113" s="12"/>
    </row>
    <row r="114" spans="1:38">
      <c r="A114" s="32"/>
      <c r="B114" s="32"/>
      <c r="C114" s="32"/>
      <c r="D114" s="32"/>
      <c r="E114" s="32"/>
      <c r="F114" s="32"/>
      <c r="S114" s="12"/>
      <c r="T114" s="10">
        <v>0</v>
      </c>
      <c r="AL114" s="12"/>
    </row>
    <row r="115" spans="1:38">
      <c r="A115" s="32"/>
      <c r="B115" s="32"/>
      <c r="C115" s="32"/>
      <c r="D115" s="32"/>
      <c r="E115" s="32"/>
      <c r="F115" s="32"/>
      <c r="S115" s="12"/>
      <c r="T115" s="10">
        <v>0</v>
      </c>
      <c r="AL115" s="12"/>
    </row>
    <row r="116" spans="1:38">
      <c r="S116" s="12"/>
      <c r="T116" s="10">
        <v>0</v>
      </c>
      <c r="AL116" s="12"/>
    </row>
    <row r="117" spans="1:38">
      <c r="S117" s="12"/>
      <c r="T117" s="10">
        <v>0</v>
      </c>
      <c r="AL117" s="12"/>
    </row>
    <row r="118" spans="1:38">
      <c r="S118" s="12"/>
      <c r="T118" s="10">
        <v>0</v>
      </c>
      <c r="AL118" s="12"/>
    </row>
    <row r="119" spans="1:38">
      <c r="S119" s="12"/>
      <c r="T119" s="10">
        <v>0</v>
      </c>
      <c r="AL119" s="12"/>
    </row>
    <row r="120" spans="1:38">
      <c r="S120" s="12"/>
      <c r="T120" s="10">
        <v>0</v>
      </c>
      <c r="AL120" s="12"/>
    </row>
    <row r="121" spans="1:38">
      <c r="S121" s="12"/>
      <c r="T121" s="10">
        <v>0</v>
      </c>
      <c r="AL121" s="12"/>
    </row>
    <row r="122" spans="1:38">
      <c r="S122" s="12"/>
      <c r="T122" s="10">
        <v>0</v>
      </c>
      <c r="AL122" s="12"/>
    </row>
    <row r="123" spans="1:38">
      <c r="S123" s="12"/>
      <c r="T123" s="10">
        <v>0</v>
      </c>
      <c r="AL123" s="12"/>
    </row>
    <row r="124" spans="1:38">
      <c r="S124" s="12"/>
      <c r="T124" s="10">
        <v>0</v>
      </c>
      <c r="AL124" s="12"/>
    </row>
    <row r="125" spans="1:38">
      <c r="S125" s="12"/>
      <c r="T125" s="10">
        <v>0</v>
      </c>
      <c r="AL125" s="12"/>
    </row>
    <row r="126" spans="1:38">
      <c r="S126" s="12"/>
      <c r="T126" s="10">
        <v>0</v>
      </c>
      <c r="AL126" s="12"/>
    </row>
    <row r="127" spans="1:38">
      <c r="S127" s="12"/>
      <c r="T127" s="10">
        <v>0</v>
      </c>
      <c r="AL127" s="12"/>
    </row>
    <row r="128" spans="1:38">
      <c r="S128" s="12"/>
      <c r="T128" s="10">
        <v>0</v>
      </c>
      <c r="AL128" s="12"/>
    </row>
  </sheetData>
  <autoFilter ref="AL6:AN6" xr:uid="{61C8306C-D51B-4E10-919A-120BF8956C31}"/>
  <mergeCells count="1">
    <mergeCell ref="AR5:AS5"/>
  </mergeCells>
  <conditionalFormatting sqref="H11">
    <cfRule type="cellIs" dxfId="572" priority="1" operator="greaterThanOrEqual">
      <formula>0</formula>
    </cfRule>
    <cfRule type="cellIs" dxfId="571" priority="2" operator="lessThan">
      <formula>0</formula>
    </cfRule>
  </conditionalFormatting>
  <pageMargins left="0.7" right="0.7" top="0.75" bottom="0.75" header="0.3" footer="0.3"/>
  <drawing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89B99-26C2-4422-89A4-5AA179177C89}">
  <sheetPr codeName="Sheet5"/>
  <dimension ref="A1:B7"/>
  <sheetViews>
    <sheetView workbookViewId="0">
      <selection activeCell="B4" sqref="B4"/>
    </sheetView>
  </sheetViews>
  <sheetFormatPr defaultRowHeight="14.4"/>
  <cols>
    <col min="1" max="1" width="11.33203125" bestFit="1" customWidth="1"/>
    <col min="2" max="2" width="18" bestFit="1" customWidth="1"/>
  </cols>
  <sheetData>
    <row r="1" spans="1:2">
      <c r="A1" t="s">
        <v>48</v>
      </c>
      <c r="B1" t="s">
        <v>55</v>
      </c>
    </row>
    <row r="2" spans="1:2">
      <c r="A2">
        <v>1</v>
      </c>
      <c r="B2" t="s">
        <v>63</v>
      </c>
    </row>
    <row r="3" spans="1:2">
      <c r="A3">
        <v>2</v>
      </c>
      <c r="B3" t="s">
        <v>64</v>
      </c>
    </row>
    <row r="4" spans="1:2">
      <c r="A4">
        <v>3</v>
      </c>
      <c r="B4" t="s">
        <v>65</v>
      </c>
    </row>
    <row r="5" spans="1:2">
      <c r="A5">
        <v>4</v>
      </c>
      <c r="B5" t="s">
        <v>66</v>
      </c>
    </row>
    <row r="6" spans="1:2">
      <c r="A6">
        <v>5</v>
      </c>
      <c r="B6" t="s">
        <v>67</v>
      </c>
    </row>
    <row r="7" spans="1:2">
      <c r="A7">
        <v>6</v>
      </c>
      <c r="B7" t="s">
        <v>68</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866CC-AE56-49F6-BCA5-1BD3B1662A14}">
  <sheetPr codeName="Sheet7"/>
  <dimension ref="A1:E31"/>
  <sheetViews>
    <sheetView workbookViewId="0">
      <selection activeCell="C40" sqref="C40"/>
    </sheetView>
  </sheetViews>
  <sheetFormatPr defaultRowHeight="14.4"/>
  <cols>
    <col min="1" max="1" width="10.6640625" customWidth="1"/>
    <col min="2" max="2" width="14.5546875" bestFit="1" customWidth="1"/>
    <col min="3" max="3" width="80.88671875" bestFit="1" customWidth="1"/>
    <col min="4" max="4" width="10.33203125" bestFit="1" customWidth="1"/>
    <col min="5" max="5" width="9.6640625" bestFit="1" customWidth="1"/>
  </cols>
  <sheetData>
    <row r="1" spans="1:5">
      <c r="A1" t="s">
        <v>53</v>
      </c>
      <c r="B1" t="s">
        <v>49</v>
      </c>
      <c r="C1" t="s">
        <v>56</v>
      </c>
      <c r="D1" t="s">
        <v>57</v>
      </c>
      <c r="E1" t="s">
        <v>58</v>
      </c>
    </row>
    <row r="2" spans="1:5">
      <c r="A2" s="26">
        <v>8001</v>
      </c>
      <c r="B2" s="26" t="s">
        <v>129</v>
      </c>
      <c r="C2" s="26" t="s">
        <v>129</v>
      </c>
      <c r="D2" s="26" t="s">
        <v>104</v>
      </c>
      <c r="E2" s="26" t="s">
        <v>100</v>
      </c>
    </row>
    <row r="3" spans="1:5">
      <c r="A3" s="26">
        <v>8002</v>
      </c>
      <c r="B3" s="26" t="s">
        <v>130</v>
      </c>
      <c r="C3" s="26" t="s">
        <v>130</v>
      </c>
      <c r="D3" s="26" t="s">
        <v>131</v>
      </c>
      <c r="E3" s="26" t="s">
        <v>77</v>
      </c>
    </row>
    <row r="4" spans="1:5">
      <c r="A4" s="26">
        <v>8003</v>
      </c>
      <c r="B4" s="26" t="s">
        <v>132</v>
      </c>
      <c r="C4" s="26" t="s">
        <v>132</v>
      </c>
      <c r="D4" s="26" t="s">
        <v>88</v>
      </c>
      <c r="E4" s="26" t="s">
        <v>133</v>
      </c>
    </row>
    <row r="5" spans="1:5">
      <c r="A5" s="26">
        <v>8004</v>
      </c>
      <c r="B5" s="26" t="s">
        <v>134</v>
      </c>
      <c r="C5" s="26" t="s">
        <v>134</v>
      </c>
      <c r="D5" s="26" t="s">
        <v>135</v>
      </c>
      <c r="E5" s="26" t="s">
        <v>136</v>
      </c>
    </row>
    <row r="6" spans="1:5">
      <c r="A6" s="26">
        <v>8005</v>
      </c>
      <c r="B6" s="26" t="s">
        <v>137</v>
      </c>
      <c r="C6" s="26" t="s">
        <v>137</v>
      </c>
      <c r="D6" s="26" t="s">
        <v>138</v>
      </c>
      <c r="E6" s="26" t="s">
        <v>101</v>
      </c>
    </row>
    <row r="7" spans="1:5">
      <c r="A7" s="26">
        <v>8006</v>
      </c>
      <c r="B7" s="26" t="s">
        <v>139</v>
      </c>
      <c r="C7" s="26" t="s">
        <v>139</v>
      </c>
      <c r="D7" s="26" t="s">
        <v>140</v>
      </c>
      <c r="E7" s="26" t="s">
        <v>120</v>
      </c>
    </row>
    <row r="8" spans="1:5">
      <c r="A8" s="26">
        <v>8007</v>
      </c>
      <c r="B8" s="26" t="s">
        <v>141</v>
      </c>
      <c r="C8" s="26" t="s">
        <v>141</v>
      </c>
      <c r="D8" s="26" t="s">
        <v>116</v>
      </c>
      <c r="E8" s="26" t="s">
        <v>140</v>
      </c>
    </row>
    <row r="9" spans="1:5">
      <c r="A9" s="26">
        <v>8008</v>
      </c>
      <c r="B9" s="26" t="s">
        <v>142</v>
      </c>
      <c r="C9" s="26" t="s">
        <v>142</v>
      </c>
      <c r="D9" s="26" t="s">
        <v>97</v>
      </c>
      <c r="E9" s="26" t="s">
        <v>79</v>
      </c>
    </row>
    <row r="10" spans="1:5">
      <c r="A10" s="26">
        <v>8009</v>
      </c>
      <c r="B10" s="26" t="s">
        <v>143</v>
      </c>
      <c r="C10" s="26" t="s">
        <v>143</v>
      </c>
      <c r="D10" s="26" t="s">
        <v>103</v>
      </c>
      <c r="E10" s="26" t="s">
        <v>88</v>
      </c>
    </row>
    <row r="11" spans="1:5">
      <c r="A11" s="26">
        <v>8010</v>
      </c>
      <c r="B11" s="26" t="s">
        <v>144</v>
      </c>
      <c r="C11" s="26" t="s">
        <v>144</v>
      </c>
      <c r="D11" s="26" t="s">
        <v>103</v>
      </c>
      <c r="E11" s="26" t="s">
        <v>111</v>
      </c>
    </row>
    <row r="12" spans="1:5">
      <c r="A12" s="26">
        <v>8011</v>
      </c>
      <c r="B12" s="26" t="s">
        <v>145</v>
      </c>
      <c r="C12" s="26" t="s">
        <v>145</v>
      </c>
      <c r="D12" s="26" t="s">
        <v>128</v>
      </c>
      <c r="E12" s="26" t="s">
        <v>75</v>
      </c>
    </row>
    <row r="13" spans="1:5">
      <c r="A13" s="26">
        <v>8012</v>
      </c>
      <c r="B13" s="26" t="s">
        <v>146</v>
      </c>
      <c r="C13" s="26" t="s">
        <v>146</v>
      </c>
      <c r="D13" s="26" t="s">
        <v>92</v>
      </c>
      <c r="E13" s="26" t="s">
        <v>147</v>
      </c>
    </row>
    <row r="14" spans="1:5">
      <c r="A14" s="26">
        <v>8013</v>
      </c>
      <c r="B14" s="26" t="s">
        <v>148</v>
      </c>
      <c r="C14" s="26" t="s">
        <v>148</v>
      </c>
      <c r="D14" s="26" t="s">
        <v>149</v>
      </c>
      <c r="E14" s="26" t="s">
        <v>150</v>
      </c>
    </row>
    <row r="15" spans="1:5">
      <c r="A15" s="26">
        <v>8014</v>
      </c>
      <c r="B15" s="26" t="s">
        <v>151</v>
      </c>
      <c r="C15" s="26" t="s">
        <v>151</v>
      </c>
      <c r="D15" s="26" t="s">
        <v>152</v>
      </c>
      <c r="E15" s="26" t="s">
        <v>120</v>
      </c>
    </row>
    <row r="16" spans="1:5">
      <c r="A16" s="26">
        <v>8015</v>
      </c>
      <c r="B16" s="26" t="s">
        <v>153</v>
      </c>
      <c r="C16" s="26" t="s">
        <v>153</v>
      </c>
      <c r="D16" s="26" t="s">
        <v>150</v>
      </c>
      <c r="E16" s="26" t="s">
        <v>154</v>
      </c>
    </row>
    <row r="17" spans="1:5">
      <c r="A17" s="26">
        <v>8016</v>
      </c>
      <c r="B17" s="26" t="s">
        <v>155</v>
      </c>
      <c r="C17" s="26" t="s">
        <v>155</v>
      </c>
      <c r="D17" s="26" t="s">
        <v>104</v>
      </c>
      <c r="E17" s="26" t="s">
        <v>131</v>
      </c>
    </row>
    <row r="18" spans="1:5">
      <c r="A18" s="26">
        <v>8017</v>
      </c>
      <c r="B18" s="26" t="s">
        <v>156</v>
      </c>
      <c r="C18" s="26" t="s">
        <v>156</v>
      </c>
      <c r="D18" s="26" t="s">
        <v>124</v>
      </c>
      <c r="E18" s="26" t="s">
        <v>112</v>
      </c>
    </row>
    <row r="19" spans="1:5">
      <c r="A19" s="26">
        <v>8018</v>
      </c>
      <c r="B19" s="26" t="s">
        <v>157</v>
      </c>
      <c r="C19" s="26" t="s">
        <v>157</v>
      </c>
      <c r="D19" s="26" t="s">
        <v>158</v>
      </c>
      <c r="E19" s="26" t="s">
        <v>80</v>
      </c>
    </row>
    <row r="20" spans="1:5">
      <c r="A20" s="26">
        <v>8019</v>
      </c>
      <c r="B20" s="26" t="s">
        <v>159</v>
      </c>
      <c r="C20" s="26" t="s">
        <v>159</v>
      </c>
      <c r="D20" s="26" t="s">
        <v>115</v>
      </c>
      <c r="E20" s="26" t="s">
        <v>119</v>
      </c>
    </row>
    <row r="21" spans="1:5">
      <c r="A21" s="26">
        <v>8020</v>
      </c>
      <c r="B21" s="26" t="s">
        <v>160</v>
      </c>
      <c r="C21" s="26" t="s">
        <v>160</v>
      </c>
      <c r="D21" s="26" t="s">
        <v>161</v>
      </c>
      <c r="E21" s="26" t="s">
        <v>71</v>
      </c>
    </row>
    <row r="22" spans="1:5">
      <c r="A22" s="26">
        <v>8021</v>
      </c>
      <c r="B22" s="26" t="s">
        <v>162</v>
      </c>
      <c r="C22" s="26" t="s">
        <v>162</v>
      </c>
      <c r="D22" s="26" t="s">
        <v>123</v>
      </c>
      <c r="E22" s="26" t="s">
        <v>112</v>
      </c>
    </row>
    <row r="23" spans="1:5">
      <c r="A23" s="26">
        <v>8022</v>
      </c>
      <c r="B23" s="26" t="s">
        <v>163</v>
      </c>
      <c r="C23" s="26" t="s">
        <v>163</v>
      </c>
      <c r="D23" s="26" t="s">
        <v>75</v>
      </c>
      <c r="E23" s="26" t="s">
        <v>89</v>
      </c>
    </row>
    <row r="24" spans="1:5">
      <c r="A24" s="26">
        <v>8023</v>
      </c>
      <c r="B24" s="26" t="s">
        <v>164</v>
      </c>
      <c r="C24" s="26" t="s">
        <v>164</v>
      </c>
      <c r="D24" s="26" t="s">
        <v>76</v>
      </c>
      <c r="E24" s="26" t="s">
        <v>136</v>
      </c>
    </row>
    <row r="25" spans="1:5">
      <c r="A25" s="26">
        <v>8024</v>
      </c>
      <c r="B25" s="26" t="s">
        <v>165</v>
      </c>
      <c r="C25" s="26" t="s">
        <v>165</v>
      </c>
      <c r="D25" s="26" t="s">
        <v>166</v>
      </c>
      <c r="E25" s="26" t="s">
        <v>69</v>
      </c>
    </row>
    <row r="26" spans="1:5">
      <c r="A26" s="26">
        <v>8025</v>
      </c>
      <c r="B26" s="26" t="s">
        <v>167</v>
      </c>
      <c r="C26" s="26" t="s">
        <v>167</v>
      </c>
      <c r="D26" s="26" t="s">
        <v>168</v>
      </c>
      <c r="E26" s="26" t="s">
        <v>169</v>
      </c>
    </row>
    <row r="27" spans="1:5">
      <c r="A27" s="26">
        <v>8026</v>
      </c>
      <c r="B27" s="26" t="s">
        <v>170</v>
      </c>
      <c r="C27" s="26" t="s">
        <v>170</v>
      </c>
      <c r="D27" s="26" t="s">
        <v>114</v>
      </c>
      <c r="E27" s="26" t="s">
        <v>100</v>
      </c>
    </row>
    <row r="28" spans="1:5">
      <c r="A28" s="26">
        <v>8027</v>
      </c>
      <c r="B28" s="26" t="s">
        <v>171</v>
      </c>
      <c r="C28" s="26" t="s">
        <v>171</v>
      </c>
      <c r="D28" s="26" t="s">
        <v>119</v>
      </c>
      <c r="E28" s="26" t="s">
        <v>94</v>
      </c>
    </row>
    <row r="29" spans="1:5">
      <c r="A29" s="26">
        <v>8028</v>
      </c>
      <c r="B29" s="26" t="s">
        <v>172</v>
      </c>
      <c r="C29" s="26" t="s">
        <v>172</v>
      </c>
      <c r="D29" s="26" t="s">
        <v>89</v>
      </c>
      <c r="E29" s="26" t="s">
        <v>173</v>
      </c>
    </row>
    <row r="30" spans="1:5">
      <c r="A30" s="26">
        <v>8029</v>
      </c>
      <c r="B30" s="26" t="s">
        <v>174</v>
      </c>
      <c r="C30" s="26" t="s">
        <v>174</v>
      </c>
      <c r="D30" s="26" t="s">
        <v>84</v>
      </c>
      <c r="E30" s="26" t="s">
        <v>85</v>
      </c>
    </row>
    <row r="31" spans="1:5">
      <c r="A31" s="26">
        <v>8030</v>
      </c>
      <c r="B31" s="26" t="s">
        <v>175</v>
      </c>
      <c r="C31" s="26" t="s">
        <v>175</v>
      </c>
      <c r="D31" s="26" t="s">
        <v>127</v>
      </c>
      <c r="E31" s="26" t="s">
        <v>117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1792-788B-42AE-B253-BA35D5F7EFC5}">
  <sheetPr codeName="Sheet9"/>
  <dimension ref="A1:K901"/>
  <sheetViews>
    <sheetView topLeftCell="A890" workbookViewId="0">
      <selection activeCell="G895" sqref="G895"/>
    </sheetView>
  </sheetViews>
  <sheetFormatPr defaultRowHeight="14.4"/>
  <cols>
    <col min="1" max="1" width="14.109375" customWidth="1"/>
    <col min="2" max="2" width="11.33203125" bestFit="1" customWidth="1"/>
    <col min="3" max="3" width="7" customWidth="1"/>
    <col min="4" max="5" width="10.6640625" customWidth="1"/>
    <col min="6" max="6" width="10.33203125" bestFit="1" customWidth="1"/>
    <col min="7" max="7" width="14.5546875" bestFit="1" customWidth="1"/>
    <col min="8" max="8" width="15.88671875" bestFit="1" customWidth="1"/>
    <col min="9" max="9" width="15.44140625" bestFit="1" customWidth="1"/>
    <col min="10" max="10" width="16.88671875" bestFit="1" customWidth="1"/>
    <col min="11" max="11" width="10.6640625" customWidth="1"/>
    <col min="12" max="12" width="22.33203125" bestFit="1" customWidth="1"/>
    <col min="13" max="13" width="19.6640625" bestFit="1" customWidth="1"/>
    <col min="14" max="14" width="17.88671875" bestFit="1" customWidth="1"/>
    <col min="15" max="16" width="14.33203125" bestFit="1" customWidth="1"/>
    <col min="17" max="18" width="11.44140625" bestFit="1" customWidth="1"/>
    <col min="19" max="19" width="14.33203125" bestFit="1" customWidth="1"/>
    <col min="20" max="20" width="22.44140625" bestFit="1" customWidth="1"/>
    <col min="21" max="21" width="50.33203125" bestFit="1" customWidth="1"/>
    <col min="22" max="22" width="22" bestFit="1" customWidth="1"/>
  </cols>
  <sheetData>
    <row r="1" spans="1:11">
      <c r="A1" t="s">
        <v>0</v>
      </c>
      <c r="B1" t="s">
        <v>48</v>
      </c>
      <c r="C1" t="s">
        <v>4</v>
      </c>
      <c r="D1" t="s">
        <v>18</v>
      </c>
      <c r="E1" t="s">
        <v>22</v>
      </c>
      <c r="F1" t="s">
        <v>3</v>
      </c>
      <c r="G1" t="s">
        <v>50</v>
      </c>
      <c r="H1" t="s">
        <v>51</v>
      </c>
      <c r="I1" t="s">
        <v>52</v>
      </c>
      <c r="J1" t="s">
        <v>1</v>
      </c>
      <c r="K1" t="s">
        <v>53</v>
      </c>
    </row>
    <row r="2" spans="1:11">
      <c r="A2" s="10">
        <v>5001</v>
      </c>
      <c r="B2" s="10">
        <v>1</v>
      </c>
      <c r="C2" s="10">
        <v>206</v>
      </c>
      <c r="D2" s="29">
        <v>3464.92</v>
      </c>
      <c r="E2" s="29">
        <v>632.70899999999995</v>
      </c>
      <c r="F2" s="30">
        <v>45808</v>
      </c>
      <c r="G2" s="10">
        <v>0</v>
      </c>
      <c r="H2" s="10">
        <v>0</v>
      </c>
      <c r="I2" s="10">
        <v>0</v>
      </c>
      <c r="J2" t="s">
        <v>54</v>
      </c>
      <c r="K2" s="10">
        <v>8003</v>
      </c>
    </row>
    <row r="3" spans="1:11">
      <c r="A3" s="10">
        <v>5001</v>
      </c>
      <c r="B3" s="10">
        <v>2</v>
      </c>
      <c r="C3" s="10">
        <v>35</v>
      </c>
      <c r="D3" s="29">
        <v>217.35</v>
      </c>
      <c r="E3" s="29">
        <v>65.570999999999998</v>
      </c>
      <c r="F3" s="30">
        <v>45626</v>
      </c>
      <c r="G3" s="10">
        <v>0</v>
      </c>
      <c r="H3" s="10">
        <v>0</v>
      </c>
      <c r="I3" s="10">
        <v>0</v>
      </c>
      <c r="J3" t="s">
        <v>54</v>
      </c>
      <c r="K3" s="10">
        <v>8003</v>
      </c>
    </row>
    <row r="4" spans="1:11">
      <c r="A4" s="10">
        <v>5010</v>
      </c>
      <c r="B4" s="10">
        <v>1</v>
      </c>
      <c r="C4" s="10">
        <v>231</v>
      </c>
      <c r="D4" s="29">
        <v>3996.3</v>
      </c>
      <c r="E4" s="29">
        <v>800.95699999999999</v>
      </c>
      <c r="F4" s="30">
        <v>45504</v>
      </c>
      <c r="G4" s="10">
        <v>0</v>
      </c>
      <c r="H4" s="10">
        <v>0</v>
      </c>
      <c r="I4" s="10">
        <v>0</v>
      </c>
      <c r="J4" t="s">
        <v>54</v>
      </c>
      <c r="K4" s="10">
        <v>8016</v>
      </c>
    </row>
    <row r="5" spans="1:11">
      <c r="A5" s="10">
        <v>5005</v>
      </c>
      <c r="B5" s="10">
        <v>1</v>
      </c>
      <c r="C5" s="10">
        <v>273</v>
      </c>
      <c r="D5" s="29">
        <v>4149.6000000000004</v>
      </c>
      <c r="E5" s="29">
        <v>1451.241</v>
      </c>
      <c r="F5" s="30">
        <v>46022</v>
      </c>
      <c r="G5" s="10">
        <v>0</v>
      </c>
      <c r="H5" s="10">
        <v>0</v>
      </c>
      <c r="I5" s="10">
        <v>0</v>
      </c>
      <c r="J5" t="s">
        <v>54</v>
      </c>
      <c r="K5" s="10">
        <v>8001</v>
      </c>
    </row>
    <row r="6" spans="1:11">
      <c r="A6" s="10">
        <v>5027</v>
      </c>
      <c r="B6" s="10">
        <v>2</v>
      </c>
      <c r="C6" s="10">
        <v>221</v>
      </c>
      <c r="D6" s="29">
        <v>3432.13</v>
      </c>
      <c r="E6" s="29">
        <v>1064.3430000000001</v>
      </c>
      <c r="F6" s="30">
        <v>45716</v>
      </c>
      <c r="G6" s="10">
        <v>0</v>
      </c>
      <c r="H6" s="10">
        <v>0</v>
      </c>
      <c r="I6" s="10">
        <v>0</v>
      </c>
      <c r="J6" t="s">
        <v>54</v>
      </c>
      <c r="K6" s="10">
        <v>8004</v>
      </c>
    </row>
    <row r="7" spans="1:11">
      <c r="A7" s="10">
        <v>5001</v>
      </c>
      <c r="B7" s="10">
        <v>1</v>
      </c>
      <c r="C7" s="10">
        <v>49</v>
      </c>
      <c r="D7" s="29">
        <v>341.53</v>
      </c>
      <c r="E7" s="29">
        <v>79.328000000000003</v>
      </c>
      <c r="F7" s="30">
        <v>45869</v>
      </c>
      <c r="G7" s="10">
        <v>0</v>
      </c>
      <c r="H7" s="10">
        <v>0</v>
      </c>
      <c r="I7" s="10">
        <v>0</v>
      </c>
      <c r="J7" t="s">
        <v>54</v>
      </c>
      <c r="K7" s="10">
        <v>8003</v>
      </c>
    </row>
    <row r="8" spans="1:11">
      <c r="A8" s="10">
        <v>5005</v>
      </c>
      <c r="B8" s="10">
        <v>1</v>
      </c>
      <c r="C8" s="10">
        <v>87</v>
      </c>
      <c r="D8" s="29">
        <v>1965.33</v>
      </c>
      <c r="E8" s="29">
        <v>625.71</v>
      </c>
      <c r="F8" s="30">
        <v>45808</v>
      </c>
      <c r="G8" s="10">
        <v>0</v>
      </c>
      <c r="H8" s="10">
        <v>0</v>
      </c>
      <c r="I8" s="10">
        <v>0</v>
      </c>
      <c r="J8" t="s">
        <v>54</v>
      </c>
      <c r="K8" s="10">
        <v>8004</v>
      </c>
    </row>
    <row r="9" spans="1:11">
      <c r="A9" s="10">
        <v>5012</v>
      </c>
      <c r="B9" s="10">
        <v>2</v>
      </c>
      <c r="C9" s="10">
        <v>319</v>
      </c>
      <c r="D9" s="29">
        <v>5107.1899999999996</v>
      </c>
      <c r="E9" s="29">
        <v>1726.229</v>
      </c>
      <c r="F9" s="30">
        <v>45473</v>
      </c>
      <c r="G9" s="10">
        <v>0</v>
      </c>
      <c r="H9" s="10">
        <v>0</v>
      </c>
      <c r="I9" s="10">
        <v>0</v>
      </c>
      <c r="J9" t="s">
        <v>54</v>
      </c>
      <c r="K9" s="10">
        <v>8002</v>
      </c>
    </row>
    <row r="10" spans="1:11">
      <c r="A10" s="10">
        <v>5014</v>
      </c>
      <c r="B10" s="10">
        <v>1</v>
      </c>
      <c r="C10" s="10">
        <v>107</v>
      </c>
      <c r="D10" s="29">
        <v>828.18</v>
      </c>
      <c r="E10" s="29">
        <v>335.54300000000001</v>
      </c>
      <c r="F10" s="30">
        <v>45961</v>
      </c>
      <c r="G10" s="10">
        <v>0</v>
      </c>
      <c r="H10" s="10">
        <v>0</v>
      </c>
      <c r="I10" s="10">
        <v>0</v>
      </c>
      <c r="J10" t="s">
        <v>54</v>
      </c>
      <c r="K10" s="10">
        <v>8003</v>
      </c>
    </row>
    <row r="11" spans="1:11">
      <c r="A11" s="10">
        <v>5004</v>
      </c>
      <c r="B11" s="10">
        <v>2</v>
      </c>
      <c r="C11" s="10">
        <v>324</v>
      </c>
      <c r="D11" s="29">
        <v>3884.76</v>
      </c>
      <c r="E11" s="29">
        <v>870.66499999999996</v>
      </c>
      <c r="F11" s="30">
        <v>45991</v>
      </c>
      <c r="G11" s="10">
        <v>0</v>
      </c>
      <c r="H11" s="10">
        <v>0</v>
      </c>
      <c r="I11" s="10">
        <v>0</v>
      </c>
      <c r="J11" t="s">
        <v>54</v>
      </c>
      <c r="K11" s="10">
        <v>8010</v>
      </c>
    </row>
    <row r="12" spans="1:11">
      <c r="A12" s="10">
        <v>5004</v>
      </c>
      <c r="B12" s="10">
        <v>5</v>
      </c>
      <c r="C12" s="10">
        <v>79</v>
      </c>
      <c r="D12" s="29">
        <v>526.92999999999995</v>
      </c>
      <c r="E12" s="29">
        <v>154.11500000000001</v>
      </c>
      <c r="F12" s="30">
        <v>45747</v>
      </c>
      <c r="G12" s="10">
        <v>0</v>
      </c>
      <c r="H12" s="10">
        <v>0</v>
      </c>
      <c r="I12" s="10">
        <v>0</v>
      </c>
      <c r="J12" t="s">
        <v>54</v>
      </c>
      <c r="K12" s="10">
        <v>8009</v>
      </c>
    </row>
    <row r="13" spans="1:11">
      <c r="A13" s="10">
        <v>5001</v>
      </c>
      <c r="B13" s="10">
        <v>3</v>
      </c>
      <c r="C13" s="10">
        <v>-188</v>
      </c>
      <c r="D13" s="29">
        <v>-2099.96</v>
      </c>
      <c r="E13" s="29">
        <v>0</v>
      </c>
      <c r="F13" s="30">
        <v>45412</v>
      </c>
      <c r="G13" s="10">
        <v>1</v>
      </c>
      <c r="H13" s="10">
        <v>1</v>
      </c>
      <c r="I13" s="10">
        <v>0</v>
      </c>
      <c r="J13" t="s">
        <v>2</v>
      </c>
      <c r="K13" s="10">
        <v>8002</v>
      </c>
    </row>
    <row r="14" spans="1:11">
      <c r="A14" s="10">
        <v>5008</v>
      </c>
      <c r="B14" s="10">
        <v>5</v>
      </c>
      <c r="C14" s="10">
        <v>17</v>
      </c>
      <c r="D14" s="29">
        <v>302.60000000000002</v>
      </c>
      <c r="E14" s="29">
        <v>90.662999999999997</v>
      </c>
      <c r="F14" s="30">
        <v>46022</v>
      </c>
      <c r="G14" s="10">
        <v>0</v>
      </c>
      <c r="H14" s="10">
        <v>0</v>
      </c>
      <c r="I14" s="10">
        <v>0</v>
      </c>
      <c r="J14" t="s">
        <v>54</v>
      </c>
      <c r="K14" s="10">
        <v>8027</v>
      </c>
    </row>
    <row r="15" spans="1:11">
      <c r="A15" s="10">
        <v>5011</v>
      </c>
      <c r="B15" s="10">
        <v>2</v>
      </c>
      <c r="C15" s="10">
        <v>117</v>
      </c>
      <c r="D15" s="29">
        <v>2687.49</v>
      </c>
      <c r="E15" s="29">
        <v>614.04100000000005</v>
      </c>
      <c r="F15" s="30">
        <v>45565</v>
      </c>
      <c r="G15" s="10">
        <v>0</v>
      </c>
      <c r="H15" s="10">
        <v>0</v>
      </c>
      <c r="I15" s="10">
        <v>0</v>
      </c>
      <c r="J15" t="s">
        <v>54</v>
      </c>
      <c r="K15" s="10">
        <v>8002</v>
      </c>
    </row>
    <row r="16" spans="1:11">
      <c r="A16" s="10">
        <v>5003</v>
      </c>
      <c r="B16" s="10">
        <v>5</v>
      </c>
      <c r="C16" s="10">
        <v>64</v>
      </c>
      <c r="D16" s="29">
        <v>1022.72</v>
      </c>
      <c r="E16" s="29">
        <v>204.27600000000001</v>
      </c>
      <c r="F16" s="30">
        <v>45688</v>
      </c>
      <c r="G16" s="10">
        <v>0</v>
      </c>
      <c r="H16" s="10">
        <v>0</v>
      </c>
      <c r="I16" s="10">
        <v>0</v>
      </c>
      <c r="J16" t="s">
        <v>54</v>
      </c>
      <c r="K16" s="10">
        <v>8020</v>
      </c>
    </row>
    <row r="17" spans="1:11">
      <c r="A17" s="10">
        <v>5008</v>
      </c>
      <c r="B17" s="10">
        <v>2</v>
      </c>
      <c r="C17" s="10">
        <v>-9</v>
      </c>
      <c r="D17" s="29">
        <v>-81</v>
      </c>
      <c r="E17" s="29">
        <v>-13.106</v>
      </c>
      <c r="F17" s="30">
        <v>45930</v>
      </c>
      <c r="G17" s="10">
        <v>1</v>
      </c>
      <c r="H17" s="10">
        <v>1</v>
      </c>
      <c r="I17" s="10">
        <v>0</v>
      </c>
      <c r="J17" t="s">
        <v>2</v>
      </c>
      <c r="K17" s="10">
        <v>8015</v>
      </c>
    </row>
    <row r="18" spans="1:11">
      <c r="A18" s="10">
        <v>5004</v>
      </c>
      <c r="B18" s="10">
        <v>5</v>
      </c>
      <c r="C18" s="10">
        <v>229</v>
      </c>
      <c r="D18" s="29">
        <v>847.3</v>
      </c>
      <c r="E18" s="29">
        <v>150.815</v>
      </c>
      <c r="F18" s="30">
        <v>45961</v>
      </c>
      <c r="G18" s="10">
        <v>0</v>
      </c>
      <c r="H18" s="10">
        <v>0</v>
      </c>
      <c r="I18" s="10">
        <v>0</v>
      </c>
      <c r="J18" t="s">
        <v>54</v>
      </c>
      <c r="K18" s="10">
        <v>8001</v>
      </c>
    </row>
    <row r="19" spans="1:11">
      <c r="A19" s="10">
        <v>5014</v>
      </c>
      <c r="B19" s="10">
        <v>2</v>
      </c>
      <c r="C19" s="10">
        <v>139</v>
      </c>
      <c r="D19" s="29">
        <v>1067.52</v>
      </c>
      <c r="E19" s="29">
        <v>288.24700000000001</v>
      </c>
      <c r="F19" s="30">
        <v>45930</v>
      </c>
      <c r="G19" s="10">
        <v>0</v>
      </c>
      <c r="H19" s="10">
        <v>0</v>
      </c>
      <c r="I19" s="10">
        <v>0</v>
      </c>
      <c r="J19" t="s">
        <v>54</v>
      </c>
      <c r="K19" s="10">
        <v>8002</v>
      </c>
    </row>
    <row r="20" spans="1:11">
      <c r="A20" s="10">
        <v>5008</v>
      </c>
      <c r="B20" s="10">
        <v>1</v>
      </c>
      <c r="C20" s="10">
        <v>96</v>
      </c>
      <c r="D20" s="29">
        <v>2293.44</v>
      </c>
      <c r="E20" s="29">
        <v>628.18700000000001</v>
      </c>
      <c r="F20" s="30">
        <v>45504</v>
      </c>
      <c r="G20" s="10">
        <v>0</v>
      </c>
      <c r="H20" s="10">
        <v>0</v>
      </c>
      <c r="I20" s="10">
        <v>0</v>
      </c>
      <c r="J20" t="s">
        <v>54</v>
      </c>
      <c r="K20" s="10">
        <v>8013</v>
      </c>
    </row>
    <row r="21" spans="1:11">
      <c r="A21" s="10">
        <v>5002</v>
      </c>
      <c r="B21" s="10">
        <v>1</v>
      </c>
      <c r="C21" s="10">
        <v>162</v>
      </c>
      <c r="D21" s="29">
        <v>1119.42</v>
      </c>
      <c r="E21" s="29">
        <v>199.77</v>
      </c>
      <c r="F21" s="30">
        <v>45716</v>
      </c>
      <c r="G21" s="10">
        <v>0</v>
      </c>
      <c r="H21" s="10">
        <v>0</v>
      </c>
      <c r="I21" s="10">
        <v>0</v>
      </c>
      <c r="J21" t="s">
        <v>54</v>
      </c>
      <c r="K21" s="10">
        <v>8003</v>
      </c>
    </row>
    <row r="22" spans="1:11">
      <c r="A22" s="10">
        <v>5003</v>
      </c>
      <c r="B22" s="10">
        <v>4</v>
      </c>
      <c r="C22" s="10">
        <v>35</v>
      </c>
      <c r="D22" s="29">
        <v>247.8</v>
      </c>
      <c r="E22" s="29">
        <v>53.451000000000001</v>
      </c>
      <c r="F22" s="30">
        <v>45808</v>
      </c>
      <c r="G22" s="10">
        <v>0</v>
      </c>
      <c r="H22" s="10">
        <v>0</v>
      </c>
      <c r="I22" s="10">
        <v>0</v>
      </c>
      <c r="J22" t="s">
        <v>54</v>
      </c>
      <c r="K22" s="10">
        <v>8020</v>
      </c>
    </row>
    <row r="23" spans="1:11">
      <c r="A23" s="10">
        <v>5022</v>
      </c>
      <c r="B23" s="10">
        <v>2</v>
      </c>
      <c r="C23" s="10">
        <v>205</v>
      </c>
      <c r="D23" s="29">
        <v>4044.65</v>
      </c>
      <c r="E23" s="29">
        <v>749.077</v>
      </c>
      <c r="F23" s="30">
        <v>45443</v>
      </c>
      <c r="G23" s="10">
        <v>0</v>
      </c>
      <c r="H23" s="10">
        <v>0</v>
      </c>
      <c r="I23" s="10">
        <v>0</v>
      </c>
      <c r="J23" t="s">
        <v>54</v>
      </c>
      <c r="K23" s="10">
        <v>8008</v>
      </c>
    </row>
    <row r="24" spans="1:11">
      <c r="A24" s="10">
        <v>5006</v>
      </c>
      <c r="B24" s="10">
        <v>3</v>
      </c>
      <c r="C24" s="10">
        <v>194</v>
      </c>
      <c r="D24" s="29">
        <v>4588.1000000000004</v>
      </c>
      <c r="E24" s="29">
        <v>1214.385</v>
      </c>
      <c r="F24" s="30">
        <v>45626</v>
      </c>
      <c r="G24" s="10">
        <v>0</v>
      </c>
      <c r="H24" s="10">
        <v>0</v>
      </c>
      <c r="I24" s="10">
        <v>0</v>
      </c>
      <c r="J24" t="s">
        <v>54</v>
      </c>
      <c r="K24" s="10">
        <v>8006</v>
      </c>
    </row>
    <row r="25" spans="1:11">
      <c r="A25" s="10">
        <v>5018</v>
      </c>
      <c r="B25" s="10">
        <v>1</v>
      </c>
      <c r="C25" s="10">
        <v>139</v>
      </c>
      <c r="D25" s="29">
        <v>1552.63</v>
      </c>
      <c r="E25" s="29">
        <v>349.26400000000001</v>
      </c>
      <c r="F25" s="30">
        <v>45596</v>
      </c>
      <c r="G25" s="10">
        <v>0</v>
      </c>
      <c r="H25" s="10">
        <v>0</v>
      </c>
      <c r="I25" s="10">
        <v>0</v>
      </c>
      <c r="J25" t="s">
        <v>54</v>
      </c>
      <c r="K25" s="10">
        <v>8003</v>
      </c>
    </row>
    <row r="26" spans="1:11">
      <c r="A26" s="10">
        <v>5006</v>
      </c>
      <c r="B26" s="10">
        <v>2</v>
      </c>
      <c r="C26" s="10">
        <v>46</v>
      </c>
      <c r="D26" s="29">
        <v>1103.08</v>
      </c>
      <c r="E26" s="29">
        <v>454.40199999999999</v>
      </c>
      <c r="F26" s="30">
        <v>45991</v>
      </c>
      <c r="G26" s="10">
        <v>0</v>
      </c>
      <c r="H26" s="10">
        <v>0</v>
      </c>
      <c r="I26" s="10">
        <v>0</v>
      </c>
      <c r="J26" t="s">
        <v>54</v>
      </c>
      <c r="K26" s="10">
        <v>8018</v>
      </c>
    </row>
    <row r="27" spans="1:11">
      <c r="A27" s="10">
        <v>5017</v>
      </c>
      <c r="B27" s="10">
        <v>2</v>
      </c>
      <c r="C27" s="10">
        <v>-88</v>
      </c>
      <c r="D27" s="29">
        <v>-941.6</v>
      </c>
      <c r="E27" s="29">
        <v>0</v>
      </c>
      <c r="F27" s="30">
        <v>45991</v>
      </c>
      <c r="G27" s="10">
        <v>1</v>
      </c>
      <c r="H27" s="10">
        <v>1</v>
      </c>
      <c r="I27" s="10">
        <v>0</v>
      </c>
      <c r="J27" t="s">
        <v>2</v>
      </c>
      <c r="K27" s="10">
        <v>8002</v>
      </c>
    </row>
    <row r="28" spans="1:11">
      <c r="A28" s="10">
        <v>5004</v>
      </c>
      <c r="B28" s="10">
        <v>2</v>
      </c>
      <c r="C28" s="10">
        <v>122</v>
      </c>
      <c r="D28" s="29">
        <v>2812.1</v>
      </c>
      <c r="E28" s="29">
        <v>856.28399999999999</v>
      </c>
      <c r="F28" s="30">
        <v>46022</v>
      </c>
      <c r="G28" s="10">
        <v>0</v>
      </c>
      <c r="H28" s="10">
        <v>0</v>
      </c>
      <c r="I28" s="10">
        <v>0</v>
      </c>
      <c r="J28" t="s">
        <v>54</v>
      </c>
      <c r="K28" s="10">
        <v>8015</v>
      </c>
    </row>
    <row r="29" spans="1:11">
      <c r="A29" s="10">
        <v>5002</v>
      </c>
      <c r="B29" s="10">
        <v>6</v>
      </c>
      <c r="C29" s="10">
        <v>95</v>
      </c>
      <c r="D29" s="29">
        <v>1314.8</v>
      </c>
      <c r="E29" s="29">
        <v>229.91</v>
      </c>
      <c r="F29" s="30">
        <v>45869</v>
      </c>
      <c r="G29" s="10">
        <v>0</v>
      </c>
      <c r="H29" s="10">
        <v>0</v>
      </c>
      <c r="I29" s="10">
        <v>0</v>
      </c>
      <c r="J29" t="s">
        <v>54</v>
      </c>
      <c r="K29" s="10">
        <v>8004</v>
      </c>
    </row>
    <row r="30" spans="1:11">
      <c r="A30" s="10">
        <v>5008</v>
      </c>
      <c r="B30" s="10">
        <v>1</v>
      </c>
      <c r="C30" s="10">
        <v>315</v>
      </c>
      <c r="D30" s="29">
        <v>1127.7</v>
      </c>
      <c r="E30" s="29">
        <v>354.89699999999999</v>
      </c>
      <c r="F30" s="30">
        <v>45777</v>
      </c>
      <c r="G30" s="10">
        <v>0</v>
      </c>
      <c r="H30" s="10">
        <v>0</v>
      </c>
      <c r="I30" s="10">
        <v>0</v>
      </c>
      <c r="J30" t="s">
        <v>54</v>
      </c>
      <c r="K30" s="10">
        <v>8018</v>
      </c>
    </row>
    <row r="31" spans="1:11">
      <c r="A31" s="10">
        <v>5003</v>
      </c>
      <c r="B31" s="10">
        <v>5</v>
      </c>
      <c r="C31" s="10">
        <v>57</v>
      </c>
      <c r="D31" s="29">
        <v>855</v>
      </c>
      <c r="E31" s="29">
        <v>229.994</v>
      </c>
      <c r="F31" s="30">
        <v>45838</v>
      </c>
      <c r="G31" s="10">
        <v>0</v>
      </c>
      <c r="H31" s="10">
        <v>0</v>
      </c>
      <c r="I31" s="10">
        <v>0</v>
      </c>
      <c r="J31" t="s">
        <v>54</v>
      </c>
      <c r="K31" s="10">
        <v>8002</v>
      </c>
    </row>
    <row r="32" spans="1:11">
      <c r="A32" s="10">
        <v>5008</v>
      </c>
      <c r="B32" s="10">
        <v>1</v>
      </c>
      <c r="C32" s="10">
        <v>199</v>
      </c>
      <c r="D32" s="29">
        <v>1412.9</v>
      </c>
      <c r="E32" s="29">
        <v>472.81200000000001</v>
      </c>
      <c r="F32" s="30">
        <v>45777</v>
      </c>
      <c r="G32" s="10">
        <v>0</v>
      </c>
      <c r="H32" s="10">
        <v>0</v>
      </c>
      <c r="I32" s="10">
        <v>0</v>
      </c>
      <c r="J32" t="s">
        <v>54</v>
      </c>
      <c r="K32" s="10">
        <v>8022</v>
      </c>
    </row>
    <row r="33" spans="1:11">
      <c r="A33" s="10">
        <v>5004</v>
      </c>
      <c r="B33" s="10">
        <v>1</v>
      </c>
      <c r="C33" s="10">
        <v>142</v>
      </c>
      <c r="D33" s="29">
        <v>3403.74</v>
      </c>
      <c r="E33" s="29">
        <v>609.43200000000002</v>
      </c>
      <c r="F33" s="30">
        <v>45596</v>
      </c>
      <c r="G33" s="10">
        <v>0</v>
      </c>
      <c r="H33" s="10">
        <v>0</v>
      </c>
      <c r="I33" s="10">
        <v>0</v>
      </c>
      <c r="J33" t="s">
        <v>54</v>
      </c>
      <c r="K33" s="10">
        <v>8014</v>
      </c>
    </row>
    <row r="34" spans="1:11">
      <c r="A34" s="10">
        <v>5004</v>
      </c>
      <c r="B34" s="10">
        <v>5</v>
      </c>
      <c r="C34" s="10">
        <v>180</v>
      </c>
      <c r="D34" s="29">
        <v>1800</v>
      </c>
      <c r="E34" s="29">
        <v>678.19299999999998</v>
      </c>
      <c r="F34" s="30">
        <v>45504</v>
      </c>
      <c r="G34" s="10">
        <v>0</v>
      </c>
      <c r="H34" s="10">
        <v>0</v>
      </c>
      <c r="I34" s="10">
        <v>0</v>
      </c>
      <c r="J34" t="s">
        <v>54</v>
      </c>
      <c r="K34" s="10">
        <v>8022</v>
      </c>
    </row>
    <row r="35" spans="1:11">
      <c r="A35" s="10">
        <v>5010</v>
      </c>
      <c r="B35" s="10">
        <v>3</v>
      </c>
      <c r="C35" s="10">
        <v>16</v>
      </c>
      <c r="D35" s="29">
        <v>319.04000000000002</v>
      </c>
      <c r="E35" s="29">
        <v>106.075</v>
      </c>
      <c r="F35" s="30">
        <v>45869</v>
      </c>
      <c r="G35" s="10">
        <v>0</v>
      </c>
      <c r="H35" s="10">
        <v>0</v>
      </c>
      <c r="I35" s="10">
        <v>0</v>
      </c>
      <c r="J35" t="s">
        <v>54</v>
      </c>
      <c r="K35" s="10">
        <v>8029</v>
      </c>
    </row>
    <row r="36" spans="1:11">
      <c r="A36" s="10">
        <v>5002</v>
      </c>
      <c r="B36" s="10">
        <v>1</v>
      </c>
      <c r="C36" s="10">
        <v>190</v>
      </c>
      <c r="D36" s="29">
        <v>1491.5</v>
      </c>
      <c r="E36" s="29">
        <v>516.923</v>
      </c>
      <c r="F36" s="30">
        <v>45991</v>
      </c>
      <c r="G36" s="10">
        <v>0</v>
      </c>
      <c r="H36" s="10">
        <v>0</v>
      </c>
      <c r="I36" s="10">
        <v>0</v>
      </c>
      <c r="J36" t="s">
        <v>54</v>
      </c>
      <c r="K36" s="10">
        <v>8002</v>
      </c>
    </row>
    <row r="37" spans="1:11">
      <c r="A37" s="10">
        <v>5010</v>
      </c>
      <c r="B37" s="10">
        <v>2</v>
      </c>
      <c r="C37" s="10">
        <v>254</v>
      </c>
      <c r="D37" s="29">
        <v>5227.32</v>
      </c>
      <c r="E37" s="29">
        <v>1412.0540000000001</v>
      </c>
      <c r="F37" s="30">
        <v>45504</v>
      </c>
      <c r="G37" s="10">
        <v>0</v>
      </c>
      <c r="H37" s="10">
        <v>0</v>
      </c>
      <c r="I37" s="10">
        <v>0</v>
      </c>
      <c r="J37" t="s">
        <v>54</v>
      </c>
      <c r="K37" s="10">
        <v>8003</v>
      </c>
    </row>
    <row r="38" spans="1:11">
      <c r="A38" s="10">
        <v>5001</v>
      </c>
      <c r="B38" s="10">
        <v>3</v>
      </c>
      <c r="C38" s="10">
        <v>72</v>
      </c>
      <c r="D38" s="29">
        <v>1314.72</v>
      </c>
      <c r="E38" s="29">
        <v>356.55</v>
      </c>
      <c r="F38" s="30">
        <v>45565</v>
      </c>
      <c r="G38" s="10">
        <v>0</v>
      </c>
      <c r="H38" s="10">
        <v>0</v>
      </c>
      <c r="I38" s="10">
        <v>0</v>
      </c>
      <c r="J38" t="s">
        <v>54</v>
      </c>
      <c r="K38" s="10">
        <v>8014</v>
      </c>
    </row>
    <row r="39" spans="1:11">
      <c r="A39" s="10">
        <v>5001</v>
      </c>
      <c r="B39" s="10">
        <v>5</v>
      </c>
      <c r="C39" s="10">
        <v>103</v>
      </c>
      <c r="D39" s="29">
        <v>2093.9899999999998</v>
      </c>
      <c r="E39" s="29">
        <v>415.666</v>
      </c>
      <c r="F39" s="30">
        <v>45322</v>
      </c>
      <c r="G39" s="10">
        <v>0</v>
      </c>
      <c r="H39" s="10">
        <v>0</v>
      </c>
      <c r="I39" s="10">
        <v>0</v>
      </c>
      <c r="J39" t="s">
        <v>54</v>
      </c>
      <c r="K39" s="10">
        <v>8019</v>
      </c>
    </row>
    <row r="40" spans="1:11">
      <c r="A40" s="10">
        <v>5004</v>
      </c>
      <c r="B40" s="10">
        <v>4</v>
      </c>
      <c r="C40" s="10">
        <v>195</v>
      </c>
      <c r="D40" s="29">
        <v>4243.2</v>
      </c>
      <c r="E40" s="29">
        <v>954.20100000000002</v>
      </c>
      <c r="F40" s="30">
        <v>45443</v>
      </c>
      <c r="G40" s="10">
        <v>0</v>
      </c>
      <c r="H40" s="10">
        <v>0</v>
      </c>
      <c r="I40" s="10">
        <v>0</v>
      </c>
      <c r="J40" t="s">
        <v>54</v>
      </c>
      <c r="K40" s="10">
        <v>8020</v>
      </c>
    </row>
    <row r="41" spans="1:11">
      <c r="A41" s="10">
        <v>5015</v>
      </c>
      <c r="B41" s="10">
        <v>2</v>
      </c>
      <c r="C41" s="10">
        <v>156</v>
      </c>
      <c r="D41" s="29">
        <v>815.88</v>
      </c>
      <c r="E41" s="29">
        <v>313.94900000000001</v>
      </c>
      <c r="F41" s="30">
        <v>45412</v>
      </c>
      <c r="G41" s="10">
        <v>0</v>
      </c>
      <c r="H41" s="10">
        <v>0</v>
      </c>
      <c r="I41" s="10">
        <v>0</v>
      </c>
      <c r="J41" t="s">
        <v>54</v>
      </c>
      <c r="K41" s="10">
        <v>8019</v>
      </c>
    </row>
    <row r="42" spans="1:11">
      <c r="A42" s="10">
        <v>5016</v>
      </c>
      <c r="B42" s="10">
        <v>1</v>
      </c>
      <c r="C42" s="10">
        <v>227</v>
      </c>
      <c r="D42" s="29">
        <v>2081.59</v>
      </c>
      <c r="E42" s="29">
        <v>767.23500000000001</v>
      </c>
      <c r="F42" s="30">
        <v>46022</v>
      </c>
      <c r="G42" s="10">
        <v>0</v>
      </c>
      <c r="H42" s="10">
        <v>0</v>
      </c>
      <c r="I42" s="10">
        <v>0</v>
      </c>
      <c r="J42" t="s">
        <v>54</v>
      </c>
      <c r="K42" s="10">
        <v>8019</v>
      </c>
    </row>
    <row r="43" spans="1:11">
      <c r="A43" s="10">
        <v>5016</v>
      </c>
      <c r="B43" s="10">
        <v>4</v>
      </c>
      <c r="C43" s="10">
        <v>53</v>
      </c>
      <c r="D43" s="29">
        <v>1121.48</v>
      </c>
      <c r="E43" s="29">
        <v>244.29499999999999</v>
      </c>
      <c r="F43" s="30">
        <v>45991</v>
      </c>
      <c r="G43" s="10">
        <v>0</v>
      </c>
      <c r="H43" s="10">
        <v>0</v>
      </c>
      <c r="I43" s="10">
        <v>0</v>
      </c>
      <c r="J43" t="s">
        <v>54</v>
      </c>
      <c r="K43" s="10">
        <v>8003</v>
      </c>
    </row>
    <row r="44" spans="1:11">
      <c r="A44" s="10">
        <v>5007</v>
      </c>
      <c r="B44" s="10">
        <v>4</v>
      </c>
      <c r="C44" s="10">
        <v>67</v>
      </c>
      <c r="D44" s="29">
        <v>156.11000000000001</v>
      </c>
      <c r="E44" s="29">
        <v>38.301000000000002</v>
      </c>
      <c r="F44" s="30">
        <v>45961</v>
      </c>
      <c r="G44" s="10">
        <v>0</v>
      </c>
      <c r="H44" s="10">
        <v>0</v>
      </c>
      <c r="I44" s="10">
        <v>0</v>
      </c>
      <c r="J44" t="s">
        <v>54</v>
      </c>
      <c r="K44" s="10">
        <v>8004</v>
      </c>
    </row>
    <row r="45" spans="1:11">
      <c r="A45" s="10">
        <v>5026</v>
      </c>
      <c r="B45" s="10">
        <v>3</v>
      </c>
      <c r="C45" s="10">
        <v>120</v>
      </c>
      <c r="D45" s="29">
        <v>2829.6</v>
      </c>
      <c r="E45" s="29">
        <v>1143.729</v>
      </c>
      <c r="F45" s="30">
        <v>45991</v>
      </c>
      <c r="G45" s="10">
        <v>0</v>
      </c>
      <c r="H45" s="10">
        <v>0</v>
      </c>
      <c r="I45" s="10">
        <v>0</v>
      </c>
      <c r="J45" t="s">
        <v>54</v>
      </c>
      <c r="K45" s="10">
        <v>8003</v>
      </c>
    </row>
    <row r="46" spans="1:11">
      <c r="A46" s="10">
        <v>5027</v>
      </c>
      <c r="B46" s="10">
        <v>6</v>
      </c>
      <c r="C46" s="10">
        <v>52</v>
      </c>
      <c r="D46" s="29">
        <v>218.92</v>
      </c>
      <c r="E46" s="29">
        <v>76.495000000000005</v>
      </c>
      <c r="F46" s="30">
        <v>45443</v>
      </c>
      <c r="G46" s="10">
        <v>0</v>
      </c>
      <c r="H46" s="10">
        <v>0</v>
      </c>
      <c r="I46" s="10">
        <v>0</v>
      </c>
      <c r="J46" t="s">
        <v>54</v>
      </c>
      <c r="K46" s="10">
        <v>8002</v>
      </c>
    </row>
    <row r="47" spans="1:11">
      <c r="A47" s="10">
        <v>5010</v>
      </c>
      <c r="B47" s="10">
        <v>2</v>
      </c>
      <c r="C47" s="10">
        <v>160</v>
      </c>
      <c r="D47" s="29">
        <v>1192</v>
      </c>
      <c r="E47" s="29">
        <v>191.244</v>
      </c>
      <c r="F47" s="30">
        <v>45596</v>
      </c>
      <c r="G47" s="10">
        <v>0</v>
      </c>
      <c r="H47" s="10">
        <v>0</v>
      </c>
      <c r="I47" s="10">
        <v>0</v>
      </c>
      <c r="J47" t="s">
        <v>54</v>
      </c>
      <c r="K47" s="10">
        <v>8007</v>
      </c>
    </row>
    <row r="48" spans="1:11">
      <c r="A48" s="10">
        <v>5008</v>
      </c>
      <c r="B48" s="10">
        <v>4</v>
      </c>
      <c r="C48" s="10">
        <v>-177</v>
      </c>
      <c r="D48" s="29">
        <v>-1750.53</v>
      </c>
      <c r="E48" s="29">
        <v>0</v>
      </c>
      <c r="F48" s="30">
        <v>45991</v>
      </c>
      <c r="G48" s="10">
        <v>1</v>
      </c>
      <c r="H48" s="10">
        <v>1</v>
      </c>
      <c r="I48" s="10">
        <v>0</v>
      </c>
      <c r="J48" t="s">
        <v>2</v>
      </c>
      <c r="K48" s="10">
        <v>8012</v>
      </c>
    </row>
    <row r="49" spans="1:11">
      <c r="A49" s="10">
        <v>5004</v>
      </c>
      <c r="B49" s="10">
        <v>3</v>
      </c>
      <c r="C49" s="10">
        <v>86</v>
      </c>
      <c r="D49" s="29">
        <v>745.62</v>
      </c>
      <c r="E49" s="29">
        <v>197.309</v>
      </c>
      <c r="F49" s="30">
        <v>45596</v>
      </c>
      <c r="G49" s="10">
        <v>0</v>
      </c>
      <c r="H49" s="10">
        <v>0</v>
      </c>
      <c r="I49" s="10">
        <v>0</v>
      </c>
      <c r="J49" t="s">
        <v>54</v>
      </c>
      <c r="K49" s="10">
        <v>8018</v>
      </c>
    </row>
    <row r="50" spans="1:11">
      <c r="A50" s="10">
        <v>5002</v>
      </c>
      <c r="B50" s="10">
        <v>6</v>
      </c>
      <c r="C50" s="10">
        <v>112</v>
      </c>
      <c r="D50" s="29">
        <v>2446.08</v>
      </c>
      <c r="E50" s="29">
        <v>582.77099999999996</v>
      </c>
      <c r="F50" s="30">
        <v>45565</v>
      </c>
      <c r="G50" s="10">
        <v>0</v>
      </c>
      <c r="H50" s="10">
        <v>0</v>
      </c>
      <c r="I50" s="10">
        <v>0</v>
      </c>
      <c r="J50" t="s">
        <v>54</v>
      </c>
      <c r="K50" s="10">
        <v>8005</v>
      </c>
    </row>
    <row r="51" spans="1:11">
      <c r="A51" s="10">
        <v>5001</v>
      </c>
      <c r="B51" s="10">
        <v>2</v>
      </c>
      <c r="C51" s="10">
        <v>146</v>
      </c>
      <c r="D51" s="29">
        <v>2384.1799999999998</v>
      </c>
      <c r="E51" s="29">
        <v>655.55799999999999</v>
      </c>
      <c r="F51" s="30">
        <v>45747</v>
      </c>
      <c r="G51" s="10">
        <v>0</v>
      </c>
      <c r="H51" s="10">
        <v>0</v>
      </c>
      <c r="I51" s="10">
        <v>0</v>
      </c>
      <c r="J51" t="s">
        <v>54</v>
      </c>
      <c r="K51" s="10">
        <v>8003</v>
      </c>
    </row>
    <row r="52" spans="1:11">
      <c r="A52" s="10">
        <v>5007</v>
      </c>
      <c r="B52" s="10">
        <v>4</v>
      </c>
      <c r="C52" s="10">
        <v>52</v>
      </c>
      <c r="D52" s="29">
        <v>191.36</v>
      </c>
      <c r="E52" s="29">
        <v>62.109000000000002</v>
      </c>
      <c r="F52" s="30">
        <v>45504</v>
      </c>
      <c r="G52" s="10">
        <v>0</v>
      </c>
      <c r="H52" s="10">
        <v>0</v>
      </c>
      <c r="I52" s="10">
        <v>0</v>
      </c>
      <c r="J52" t="s">
        <v>54</v>
      </c>
      <c r="K52" s="10">
        <v>8020</v>
      </c>
    </row>
    <row r="53" spans="1:11">
      <c r="A53" s="10">
        <v>5016</v>
      </c>
      <c r="B53" s="10">
        <v>3</v>
      </c>
      <c r="C53" s="10">
        <v>-72</v>
      </c>
      <c r="D53" s="29">
        <v>-447.84</v>
      </c>
      <c r="E53" s="29">
        <v>0</v>
      </c>
      <c r="F53" s="30">
        <v>45596</v>
      </c>
      <c r="G53" s="10">
        <v>1</v>
      </c>
      <c r="H53" s="10">
        <v>1</v>
      </c>
      <c r="I53" s="10">
        <v>0</v>
      </c>
      <c r="J53" t="s">
        <v>2</v>
      </c>
      <c r="K53" s="10">
        <v>8014</v>
      </c>
    </row>
    <row r="54" spans="1:11">
      <c r="A54" s="10">
        <v>5018</v>
      </c>
      <c r="B54" s="10">
        <v>2</v>
      </c>
      <c r="C54" s="10">
        <v>174</v>
      </c>
      <c r="D54" s="29">
        <v>1064.8800000000001</v>
      </c>
      <c r="E54" s="29">
        <v>307.25799999999998</v>
      </c>
      <c r="F54" s="30">
        <v>45657</v>
      </c>
      <c r="G54" s="10">
        <v>0</v>
      </c>
      <c r="H54" s="10">
        <v>0</v>
      </c>
      <c r="I54" s="10">
        <v>0</v>
      </c>
      <c r="J54" t="s">
        <v>54</v>
      </c>
      <c r="K54" s="10">
        <v>8001</v>
      </c>
    </row>
    <row r="55" spans="1:11">
      <c r="A55" s="10">
        <v>5011</v>
      </c>
      <c r="B55" s="10">
        <v>4</v>
      </c>
      <c r="C55" s="10">
        <v>167</v>
      </c>
      <c r="D55" s="29">
        <v>696.39</v>
      </c>
      <c r="E55" s="29">
        <v>143.26900000000001</v>
      </c>
      <c r="F55" s="30">
        <v>45535</v>
      </c>
      <c r="G55" s="10">
        <v>0</v>
      </c>
      <c r="H55" s="10">
        <v>0</v>
      </c>
      <c r="I55" s="10">
        <v>0</v>
      </c>
      <c r="J55" t="s">
        <v>54</v>
      </c>
      <c r="K55" s="10">
        <v>8001</v>
      </c>
    </row>
    <row r="56" spans="1:11">
      <c r="A56" s="10">
        <v>5008</v>
      </c>
      <c r="B56" s="10">
        <v>1</v>
      </c>
      <c r="C56" s="10">
        <v>274</v>
      </c>
      <c r="D56" s="29">
        <v>3268.82</v>
      </c>
      <c r="E56" s="29">
        <v>1090.3810000000001</v>
      </c>
      <c r="F56" s="30">
        <v>46022</v>
      </c>
      <c r="G56" s="10">
        <v>0</v>
      </c>
      <c r="H56" s="10">
        <v>0</v>
      </c>
      <c r="I56" s="10">
        <v>0</v>
      </c>
      <c r="J56" t="s">
        <v>54</v>
      </c>
      <c r="K56" s="10">
        <v>8001</v>
      </c>
    </row>
    <row r="57" spans="1:11">
      <c r="A57" s="10">
        <v>5010</v>
      </c>
      <c r="B57" s="10">
        <v>5</v>
      </c>
      <c r="C57" s="10">
        <v>126</v>
      </c>
      <c r="D57" s="29">
        <v>2239.02</v>
      </c>
      <c r="E57" s="29">
        <v>841.755</v>
      </c>
      <c r="F57" s="30">
        <v>46022</v>
      </c>
      <c r="G57" s="10">
        <v>0</v>
      </c>
      <c r="H57" s="10">
        <v>0</v>
      </c>
      <c r="I57" s="10">
        <v>0</v>
      </c>
      <c r="J57" t="s">
        <v>54</v>
      </c>
      <c r="K57" s="10">
        <v>8024</v>
      </c>
    </row>
    <row r="58" spans="1:11">
      <c r="A58" s="10">
        <v>5020</v>
      </c>
      <c r="B58" s="10">
        <v>2</v>
      </c>
      <c r="C58" s="10">
        <v>78</v>
      </c>
      <c r="D58" s="29">
        <v>568.62</v>
      </c>
      <c r="E58" s="29">
        <v>204.19800000000001</v>
      </c>
      <c r="F58" s="30">
        <v>45747</v>
      </c>
      <c r="G58" s="10">
        <v>0</v>
      </c>
      <c r="H58" s="10">
        <v>0</v>
      </c>
      <c r="I58" s="10">
        <v>0</v>
      </c>
      <c r="J58" t="s">
        <v>54</v>
      </c>
      <c r="K58" s="10">
        <v>8013</v>
      </c>
    </row>
    <row r="59" spans="1:11">
      <c r="A59" s="10">
        <v>5010</v>
      </c>
      <c r="B59" s="10">
        <v>1</v>
      </c>
      <c r="C59" s="10">
        <v>91</v>
      </c>
      <c r="D59" s="29">
        <v>712.53</v>
      </c>
      <c r="E59" s="29">
        <v>214.072</v>
      </c>
      <c r="F59" s="30">
        <v>45716</v>
      </c>
      <c r="G59" s="10">
        <v>0</v>
      </c>
      <c r="H59" s="10">
        <v>0</v>
      </c>
      <c r="I59" s="10">
        <v>0</v>
      </c>
      <c r="J59" t="s">
        <v>54</v>
      </c>
      <c r="K59" s="10">
        <v>8003</v>
      </c>
    </row>
    <row r="60" spans="1:11">
      <c r="A60" s="10">
        <v>5003</v>
      </c>
      <c r="B60" s="10">
        <v>3</v>
      </c>
      <c r="C60" s="10">
        <v>37</v>
      </c>
      <c r="D60" s="29">
        <v>401.45</v>
      </c>
      <c r="E60" s="29">
        <v>107.629</v>
      </c>
      <c r="F60" s="30">
        <v>45443</v>
      </c>
      <c r="G60" s="10">
        <v>0</v>
      </c>
      <c r="H60" s="10">
        <v>0</v>
      </c>
      <c r="I60" s="10">
        <v>0</v>
      </c>
      <c r="J60" t="s">
        <v>54</v>
      </c>
      <c r="K60" s="10">
        <v>8011</v>
      </c>
    </row>
    <row r="61" spans="1:11">
      <c r="A61" s="10">
        <v>5006</v>
      </c>
      <c r="B61" s="10">
        <v>3</v>
      </c>
      <c r="C61" s="10">
        <v>161</v>
      </c>
      <c r="D61" s="29">
        <v>3352.02</v>
      </c>
      <c r="E61" s="29">
        <v>867.83500000000004</v>
      </c>
      <c r="F61" s="30">
        <v>45504</v>
      </c>
      <c r="G61" s="10">
        <v>0</v>
      </c>
      <c r="H61" s="10">
        <v>0</v>
      </c>
      <c r="I61" s="10">
        <v>0</v>
      </c>
      <c r="J61" t="s">
        <v>54</v>
      </c>
      <c r="K61" s="10">
        <v>8020</v>
      </c>
    </row>
    <row r="62" spans="1:11">
      <c r="A62" s="10">
        <v>5005</v>
      </c>
      <c r="B62" s="10">
        <v>4</v>
      </c>
      <c r="C62" s="10">
        <v>237</v>
      </c>
      <c r="D62" s="29">
        <v>2630.7</v>
      </c>
      <c r="E62" s="29">
        <v>794.45699999999999</v>
      </c>
      <c r="F62" s="30">
        <v>45322</v>
      </c>
      <c r="G62" s="10">
        <v>0</v>
      </c>
      <c r="H62" s="10">
        <v>0</v>
      </c>
      <c r="I62" s="10">
        <v>0</v>
      </c>
      <c r="J62" t="s">
        <v>54</v>
      </c>
      <c r="K62" s="10">
        <v>8014</v>
      </c>
    </row>
    <row r="63" spans="1:11">
      <c r="A63" s="10">
        <v>5003</v>
      </c>
      <c r="B63" s="10">
        <v>2</v>
      </c>
      <c r="C63" s="10">
        <v>29</v>
      </c>
      <c r="D63" s="29">
        <v>268.54000000000002</v>
      </c>
      <c r="E63" s="29">
        <v>71.195999999999998</v>
      </c>
      <c r="F63" s="30">
        <v>45777</v>
      </c>
      <c r="G63" s="10">
        <v>0</v>
      </c>
      <c r="H63" s="10">
        <v>0</v>
      </c>
      <c r="I63" s="10">
        <v>0</v>
      </c>
      <c r="J63" t="s">
        <v>54</v>
      </c>
      <c r="K63" s="10">
        <v>8003</v>
      </c>
    </row>
    <row r="64" spans="1:11">
      <c r="A64" s="10">
        <v>5007</v>
      </c>
      <c r="B64" s="10">
        <v>3</v>
      </c>
      <c r="C64" s="10">
        <v>26</v>
      </c>
      <c r="D64" s="29">
        <v>274.3</v>
      </c>
      <c r="E64" s="29">
        <v>45.820999999999998</v>
      </c>
      <c r="F64" s="30">
        <v>45473</v>
      </c>
      <c r="G64" s="10">
        <v>0</v>
      </c>
      <c r="H64" s="10">
        <v>0</v>
      </c>
      <c r="I64" s="10">
        <v>0</v>
      </c>
      <c r="J64" t="s">
        <v>54</v>
      </c>
      <c r="K64" s="10">
        <v>8002</v>
      </c>
    </row>
    <row r="65" spans="1:11">
      <c r="A65" s="10">
        <v>5002</v>
      </c>
      <c r="B65" s="10">
        <v>1</v>
      </c>
      <c r="C65" s="10">
        <v>111</v>
      </c>
      <c r="D65" s="29">
        <v>721.5</v>
      </c>
      <c r="E65" s="29">
        <v>258.23899999999998</v>
      </c>
      <c r="F65" s="30">
        <v>45838</v>
      </c>
      <c r="G65" s="10">
        <v>0</v>
      </c>
      <c r="H65" s="10">
        <v>0</v>
      </c>
      <c r="I65" s="10">
        <v>0</v>
      </c>
      <c r="J65" t="s">
        <v>54</v>
      </c>
      <c r="K65" s="10">
        <v>8006</v>
      </c>
    </row>
    <row r="66" spans="1:11">
      <c r="A66" s="10">
        <v>5013</v>
      </c>
      <c r="B66" s="10">
        <v>1</v>
      </c>
      <c r="C66" s="10">
        <v>61</v>
      </c>
      <c r="D66" s="29">
        <v>136.03</v>
      </c>
      <c r="E66" s="29">
        <v>57.128999999999998</v>
      </c>
      <c r="F66" s="30">
        <v>45626</v>
      </c>
      <c r="G66" s="10">
        <v>0</v>
      </c>
      <c r="H66" s="10">
        <v>0</v>
      </c>
      <c r="I66" s="10">
        <v>0</v>
      </c>
      <c r="J66" t="s">
        <v>54</v>
      </c>
      <c r="K66" s="10">
        <v>8017</v>
      </c>
    </row>
    <row r="67" spans="1:11">
      <c r="A67" s="10">
        <v>5011</v>
      </c>
      <c r="B67" s="10">
        <v>3</v>
      </c>
      <c r="C67" s="10">
        <v>221</v>
      </c>
      <c r="D67" s="29">
        <v>5056.4799999999996</v>
      </c>
      <c r="E67" s="29">
        <v>835.83</v>
      </c>
      <c r="F67" s="30">
        <v>45626</v>
      </c>
      <c r="G67" s="10">
        <v>0</v>
      </c>
      <c r="H67" s="10">
        <v>0</v>
      </c>
      <c r="I67" s="10">
        <v>0</v>
      </c>
      <c r="J67" t="s">
        <v>54</v>
      </c>
      <c r="K67" s="10">
        <v>8015</v>
      </c>
    </row>
    <row r="68" spans="1:11">
      <c r="A68" s="10">
        <v>5002</v>
      </c>
      <c r="B68" s="10">
        <v>2</v>
      </c>
      <c r="C68" s="10">
        <v>71</v>
      </c>
      <c r="D68" s="29">
        <v>1230.43</v>
      </c>
      <c r="E68" s="29">
        <v>250.547</v>
      </c>
      <c r="F68" s="30">
        <v>45473</v>
      </c>
      <c r="G68" s="10">
        <v>0</v>
      </c>
      <c r="H68" s="10">
        <v>0</v>
      </c>
      <c r="I68" s="10">
        <v>0</v>
      </c>
      <c r="J68" t="s">
        <v>54</v>
      </c>
      <c r="K68" s="10">
        <v>8010</v>
      </c>
    </row>
    <row r="69" spans="1:11">
      <c r="A69" s="10">
        <v>5013</v>
      </c>
      <c r="B69" s="10">
        <v>4</v>
      </c>
      <c r="C69" s="10">
        <v>-244</v>
      </c>
      <c r="D69" s="29">
        <v>-1024.8</v>
      </c>
      <c r="E69" s="29">
        <v>0</v>
      </c>
      <c r="F69" s="30">
        <v>45808</v>
      </c>
      <c r="G69" s="10">
        <v>1</v>
      </c>
      <c r="H69" s="10">
        <v>1</v>
      </c>
      <c r="I69" s="10">
        <v>0</v>
      </c>
      <c r="J69" t="s">
        <v>2</v>
      </c>
      <c r="K69" s="10">
        <v>8002</v>
      </c>
    </row>
    <row r="70" spans="1:11">
      <c r="A70" s="10">
        <v>5025</v>
      </c>
      <c r="B70" s="10">
        <v>3</v>
      </c>
      <c r="C70" s="10">
        <v>40</v>
      </c>
      <c r="D70" s="29">
        <v>685.2</v>
      </c>
      <c r="E70" s="29">
        <v>127.786</v>
      </c>
      <c r="F70" s="30">
        <v>45838</v>
      </c>
      <c r="G70" s="10">
        <v>0</v>
      </c>
      <c r="H70" s="10">
        <v>0</v>
      </c>
      <c r="I70" s="10">
        <v>0</v>
      </c>
      <c r="J70" t="s">
        <v>54</v>
      </c>
      <c r="K70" s="10">
        <v>8005</v>
      </c>
    </row>
    <row r="71" spans="1:11">
      <c r="A71" s="10">
        <v>5018</v>
      </c>
      <c r="B71" s="10">
        <v>1</v>
      </c>
      <c r="C71" s="10">
        <v>340</v>
      </c>
      <c r="D71" s="29">
        <v>6517.8</v>
      </c>
      <c r="E71" s="29">
        <v>1768.789</v>
      </c>
      <c r="F71" s="30">
        <v>45930</v>
      </c>
      <c r="G71" s="10">
        <v>0</v>
      </c>
      <c r="H71" s="10">
        <v>0</v>
      </c>
      <c r="I71" s="10">
        <v>0</v>
      </c>
      <c r="J71" t="s">
        <v>54</v>
      </c>
      <c r="K71" s="10">
        <v>8009</v>
      </c>
    </row>
    <row r="72" spans="1:11">
      <c r="A72" s="10">
        <v>5008</v>
      </c>
      <c r="B72" s="10">
        <v>4</v>
      </c>
      <c r="C72" s="10">
        <v>228</v>
      </c>
      <c r="D72" s="29">
        <v>943.92</v>
      </c>
      <c r="E72" s="29">
        <v>307.012</v>
      </c>
      <c r="F72" s="30">
        <v>45626</v>
      </c>
      <c r="G72" s="10">
        <v>0</v>
      </c>
      <c r="H72" s="10">
        <v>0</v>
      </c>
      <c r="I72" s="10">
        <v>0</v>
      </c>
      <c r="J72" t="s">
        <v>54</v>
      </c>
      <c r="K72" s="10">
        <v>8004</v>
      </c>
    </row>
    <row r="73" spans="1:11">
      <c r="A73" s="10">
        <v>5012</v>
      </c>
      <c r="B73" s="10">
        <v>3</v>
      </c>
      <c r="C73" s="10">
        <v>293</v>
      </c>
      <c r="D73" s="29">
        <v>2285.4</v>
      </c>
      <c r="E73" s="29">
        <v>685.44799999999998</v>
      </c>
      <c r="F73" s="30">
        <v>45961</v>
      </c>
      <c r="G73" s="10">
        <v>0</v>
      </c>
      <c r="H73" s="10">
        <v>0</v>
      </c>
      <c r="I73" s="10">
        <v>0</v>
      </c>
      <c r="J73" t="s">
        <v>54</v>
      </c>
      <c r="K73" s="10">
        <v>8006</v>
      </c>
    </row>
    <row r="74" spans="1:11">
      <c r="A74" s="10">
        <v>5006</v>
      </c>
      <c r="B74" s="10">
        <v>1</v>
      </c>
      <c r="C74" s="10">
        <v>-250</v>
      </c>
      <c r="D74" s="29">
        <v>-5060</v>
      </c>
      <c r="E74" s="29">
        <v>-336.892</v>
      </c>
      <c r="F74" s="30">
        <v>45688</v>
      </c>
      <c r="G74" s="10">
        <v>1</v>
      </c>
      <c r="H74" s="10">
        <v>1</v>
      </c>
      <c r="I74" s="10">
        <v>0</v>
      </c>
      <c r="J74" t="s">
        <v>2</v>
      </c>
      <c r="K74" s="10">
        <v>8013</v>
      </c>
    </row>
    <row r="75" spans="1:11">
      <c r="A75" s="10">
        <v>5010</v>
      </c>
      <c r="B75" s="10">
        <v>1</v>
      </c>
      <c r="C75" s="10">
        <v>275</v>
      </c>
      <c r="D75" s="29">
        <v>1606</v>
      </c>
      <c r="E75" s="29">
        <v>590.10299999999995</v>
      </c>
      <c r="F75" s="30">
        <v>45657</v>
      </c>
      <c r="G75" s="10">
        <v>0</v>
      </c>
      <c r="H75" s="10">
        <v>0</v>
      </c>
      <c r="I75" s="10">
        <v>0</v>
      </c>
      <c r="J75" t="s">
        <v>54</v>
      </c>
      <c r="K75" s="10">
        <v>8004</v>
      </c>
    </row>
    <row r="76" spans="1:11">
      <c r="A76" s="10">
        <v>5019</v>
      </c>
      <c r="B76" s="10">
        <v>1</v>
      </c>
      <c r="C76" s="10">
        <v>-23</v>
      </c>
      <c r="D76" s="29">
        <v>-525.54999999999995</v>
      </c>
      <c r="E76" s="29">
        <v>-54.281999999999996</v>
      </c>
      <c r="F76" s="30">
        <v>45596</v>
      </c>
      <c r="G76" s="10">
        <v>1</v>
      </c>
      <c r="H76" s="10">
        <v>1</v>
      </c>
      <c r="I76" s="10">
        <v>0</v>
      </c>
      <c r="J76" t="s">
        <v>2</v>
      </c>
      <c r="K76" s="10">
        <v>8011</v>
      </c>
    </row>
    <row r="77" spans="1:11">
      <c r="A77" s="10">
        <v>5012</v>
      </c>
      <c r="B77" s="10">
        <v>2</v>
      </c>
      <c r="C77" s="10">
        <v>207</v>
      </c>
      <c r="D77" s="29">
        <v>801.09</v>
      </c>
      <c r="E77" s="29">
        <v>272.262</v>
      </c>
      <c r="F77" s="30">
        <v>45930</v>
      </c>
      <c r="G77" s="10">
        <v>0</v>
      </c>
      <c r="H77" s="10">
        <v>0</v>
      </c>
      <c r="I77" s="10">
        <v>0</v>
      </c>
      <c r="J77" t="s">
        <v>54</v>
      </c>
      <c r="K77" s="10">
        <v>8010</v>
      </c>
    </row>
    <row r="78" spans="1:11">
      <c r="A78" s="10">
        <v>5009</v>
      </c>
      <c r="B78" s="10">
        <v>2</v>
      </c>
      <c r="C78" s="10">
        <v>122</v>
      </c>
      <c r="D78" s="29">
        <v>2239.92</v>
      </c>
      <c r="E78" s="29">
        <v>767.71500000000003</v>
      </c>
      <c r="F78" s="30">
        <v>45596</v>
      </c>
      <c r="G78" s="10">
        <v>0</v>
      </c>
      <c r="H78" s="10">
        <v>0</v>
      </c>
      <c r="I78" s="10">
        <v>0</v>
      </c>
      <c r="J78" t="s">
        <v>54</v>
      </c>
      <c r="K78" s="10">
        <v>8006</v>
      </c>
    </row>
    <row r="79" spans="1:11">
      <c r="A79" s="10">
        <v>5004</v>
      </c>
      <c r="B79" s="10">
        <v>1</v>
      </c>
      <c r="C79" s="10">
        <v>58</v>
      </c>
      <c r="D79" s="29">
        <v>794.6</v>
      </c>
      <c r="E79" s="29">
        <v>165.387</v>
      </c>
      <c r="F79" s="30">
        <v>45565</v>
      </c>
      <c r="G79" s="10">
        <v>0</v>
      </c>
      <c r="H79" s="10">
        <v>0</v>
      </c>
      <c r="I79" s="10">
        <v>0</v>
      </c>
      <c r="J79" t="s">
        <v>54</v>
      </c>
      <c r="K79" s="10">
        <v>8002</v>
      </c>
    </row>
    <row r="80" spans="1:11">
      <c r="A80" s="10">
        <v>5007</v>
      </c>
      <c r="B80" s="10">
        <v>6</v>
      </c>
      <c r="C80" s="10">
        <v>87</v>
      </c>
      <c r="D80" s="29">
        <v>702.96</v>
      </c>
      <c r="E80" s="29">
        <v>147.952</v>
      </c>
      <c r="F80" s="30">
        <v>45504</v>
      </c>
      <c r="G80" s="10">
        <v>0</v>
      </c>
      <c r="H80" s="10">
        <v>0</v>
      </c>
      <c r="I80" s="10">
        <v>0</v>
      </c>
      <c r="J80" t="s">
        <v>54</v>
      </c>
      <c r="K80" s="10">
        <v>8012</v>
      </c>
    </row>
    <row r="81" spans="1:11">
      <c r="A81" s="10">
        <v>5003</v>
      </c>
      <c r="B81" s="10">
        <v>2</v>
      </c>
      <c r="C81" s="10">
        <v>81</v>
      </c>
      <c r="D81" s="29">
        <v>1897.83</v>
      </c>
      <c r="E81" s="29">
        <v>647.78399999999999</v>
      </c>
      <c r="F81" s="30">
        <v>45535</v>
      </c>
      <c r="G81" s="10">
        <v>0</v>
      </c>
      <c r="H81" s="10">
        <v>0</v>
      </c>
      <c r="I81" s="10">
        <v>0</v>
      </c>
      <c r="J81" t="s">
        <v>54</v>
      </c>
      <c r="K81" s="10">
        <v>8001</v>
      </c>
    </row>
    <row r="82" spans="1:11">
      <c r="A82" s="10">
        <v>5018</v>
      </c>
      <c r="B82" s="10">
        <v>5</v>
      </c>
      <c r="C82" s="10">
        <v>108</v>
      </c>
      <c r="D82" s="29">
        <v>1319.76</v>
      </c>
      <c r="E82" s="29">
        <v>274.42399999999998</v>
      </c>
      <c r="F82" s="30">
        <v>45443</v>
      </c>
      <c r="G82" s="10">
        <v>0</v>
      </c>
      <c r="H82" s="10">
        <v>0</v>
      </c>
      <c r="I82" s="10">
        <v>0</v>
      </c>
      <c r="J82" t="s">
        <v>54</v>
      </c>
      <c r="K82" s="10">
        <v>8007</v>
      </c>
    </row>
    <row r="83" spans="1:11">
      <c r="A83" s="10">
        <v>5023</v>
      </c>
      <c r="B83" s="10">
        <v>4</v>
      </c>
      <c r="C83" s="10">
        <v>89</v>
      </c>
      <c r="D83" s="29">
        <v>306.16000000000003</v>
      </c>
      <c r="E83" s="29">
        <v>53.253</v>
      </c>
      <c r="F83" s="30">
        <v>45351</v>
      </c>
      <c r="G83" s="10">
        <v>0</v>
      </c>
      <c r="H83" s="10">
        <v>0</v>
      </c>
      <c r="I83" s="10">
        <v>0</v>
      </c>
      <c r="J83" t="s">
        <v>54</v>
      </c>
      <c r="K83" s="10">
        <v>8006</v>
      </c>
    </row>
    <row r="84" spans="1:11">
      <c r="A84" s="10">
        <v>5009</v>
      </c>
      <c r="B84" s="10">
        <v>6</v>
      </c>
      <c r="C84" s="10">
        <v>35</v>
      </c>
      <c r="D84" s="29">
        <v>656.95</v>
      </c>
      <c r="E84" s="29">
        <v>240.17599999999999</v>
      </c>
      <c r="F84" s="30">
        <v>45443</v>
      </c>
      <c r="G84" s="10">
        <v>0</v>
      </c>
      <c r="H84" s="10">
        <v>0</v>
      </c>
      <c r="I84" s="10">
        <v>0</v>
      </c>
      <c r="J84" t="s">
        <v>54</v>
      </c>
      <c r="K84" s="10">
        <v>8004</v>
      </c>
    </row>
    <row r="85" spans="1:11">
      <c r="A85" s="10">
        <v>5008</v>
      </c>
      <c r="B85" s="10">
        <v>2</v>
      </c>
      <c r="C85" s="10">
        <v>233</v>
      </c>
      <c r="D85" s="29">
        <v>5540.74</v>
      </c>
      <c r="E85" s="29">
        <v>1781.1659999999999</v>
      </c>
      <c r="F85" s="30">
        <v>45535</v>
      </c>
      <c r="G85" s="10">
        <v>0</v>
      </c>
      <c r="H85" s="10">
        <v>0</v>
      </c>
      <c r="I85" s="10">
        <v>0</v>
      </c>
      <c r="J85" t="s">
        <v>54</v>
      </c>
      <c r="K85" s="10">
        <v>8006</v>
      </c>
    </row>
    <row r="86" spans="1:11">
      <c r="A86" s="10">
        <v>5013</v>
      </c>
      <c r="B86" s="10">
        <v>1</v>
      </c>
      <c r="C86" s="10">
        <v>76</v>
      </c>
      <c r="D86" s="29">
        <v>1250.96</v>
      </c>
      <c r="E86" s="29">
        <v>256.68599999999998</v>
      </c>
      <c r="F86" s="30">
        <v>45808</v>
      </c>
      <c r="G86" s="10">
        <v>0</v>
      </c>
      <c r="H86" s="10">
        <v>0</v>
      </c>
      <c r="I86" s="10">
        <v>0</v>
      </c>
      <c r="J86" t="s">
        <v>54</v>
      </c>
      <c r="K86" s="10">
        <v>8024</v>
      </c>
    </row>
    <row r="87" spans="1:11">
      <c r="A87" s="10">
        <v>5001</v>
      </c>
      <c r="B87" s="10">
        <v>3</v>
      </c>
      <c r="C87" s="10">
        <v>77</v>
      </c>
      <c r="D87" s="29">
        <v>534.38</v>
      </c>
      <c r="E87" s="29">
        <v>183.173</v>
      </c>
      <c r="F87" s="30">
        <v>45382</v>
      </c>
      <c r="G87" s="10">
        <v>0</v>
      </c>
      <c r="H87" s="10">
        <v>0</v>
      </c>
      <c r="I87" s="10">
        <v>0</v>
      </c>
      <c r="J87" t="s">
        <v>54</v>
      </c>
      <c r="K87" s="10">
        <v>8006</v>
      </c>
    </row>
    <row r="88" spans="1:11">
      <c r="A88" s="10">
        <v>5012</v>
      </c>
      <c r="B88" s="10">
        <v>4</v>
      </c>
      <c r="C88" s="10">
        <v>145</v>
      </c>
      <c r="D88" s="29">
        <v>2389.6</v>
      </c>
      <c r="E88" s="29">
        <v>646.47299999999996</v>
      </c>
      <c r="F88" s="30">
        <v>45657</v>
      </c>
      <c r="G88" s="10">
        <v>0</v>
      </c>
      <c r="H88" s="10">
        <v>0</v>
      </c>
      <c r="I88" s="10">
        <v>0</v>
      </c>
      <c r="J88" t="s">
        <v>54</v>
      </c>
      <c r="K88" s="10">
        <v>8021</v>
      </c>
    </row>
    <row r="89" spans="1:11">
      <c r="A89" s="10">
        <v>5011</v>
      </c>
      <c r="B89" s="10">
        <v>4</v>
      </c>
      <c r="C89" s="10">
        <v>35</v>
      </c>
      <c r="D89" s="29">
        <v>191.8</v>
      </c>
      <c r="E89" s="29">
        <v>68.037000000000006</v>
      </c>
      <c r="F89" s="30">
        <v>45747</v>
      </c>
      <c r="G89" s="10">
        <v>0</v>
      </c>
      <c r="H89" s="10">
        <v>0</v>
      </c>
      <c r="I89" s="10">
        <v>0</v>
      </c>
      <c r="J89" t="s">
        <v>54</v>
      </c>
      <c r="K89" s="10">
        <v>8020</v>
      </c>
    </row>
    <row r="90" spans="1:11">
      <c r="A90" s="10">
        <v>5004</v>
      </c>
      <c r="B90" s="10">
        <v>3</v>
      </c>
      <c r="C90" s="10">
        <v>162</v>
      </c>
      <c r="D90" s="29">
        <v>3682.26</v>
      </c>
      <c r="E90" s="29">
        <v>1061.915</v>
      </c>
      <c r="F90" s="30">
        <v>45747</v>
      </c>
      <c r="G90" s="10">
        <v>0</v>
      </c>
      <c r="H90" s="10">
        <v>0</v>
      </c>
      <c r="I90" s="10">
        <v>0</v>
      </c>
      <c r="J90" t="s">
        <v>54</v>
      </c>
      <c r="K90" s="10">
        <v>8002</v>
      </c>
    </row>
    <row r="91" spans="1:11">
      <c r="A91" s="10">
        <v>5001</v>
      </c>
      <c r="B91" s="10">
        <v>1</v>
      </c>
      <c r="C91" s="10">
        <v>84</v>
      </c>
      <c r="D91" s="29">
        <v>321.72000000000003</v>
      </c>
      <c r="E91" s="29">
        <v>121.401</v>
      </c>
      <c r="F91" s="30">
        <v>45382</v>
      </c>
      <c r="G91" s="10">
        <v>0</v>
      </c>
      <c r="H91" s="10">
        <v>0</v>
      </c>
      <c r="I91" s="10">
        <v>0</v>
      </c>
      <c r="J91" t="s">
        <v>54</v>
      </c>
      <c r="K91" s="10">
        <v>8005</v>
      </c>
    </row>
    <row r="92" spans="1:11">
      <c r="A92" s="10">
        <v>5024</v>
      </c>
      <c r="B92" s="10">
        <v>3</v>
      </c>
      <c r="C92" s="10">
        <v>73</v>
      </c>
      <c r="D92" s="29">
        <v>196.37</v>
      </c>
      <c r="E92" s="29">
        <v>55.441000000000003</v>
      </c>
      <c r="F92" s="30">
        <v>45777</v>
      </c>
      <c r="G92" s="10">
        <v>0</v>
      </c>
      <c r="H92" s="10">
        <v>0</v>
      </c>
      <c r="I92" s="10">
        <v>0</v>
      </c>
      <c r="J92" t="s">
        <v>54</v>
      </c>
      <c r="K92" s="10">
        <v>8030</v>
      </c>
    </row>
    <row r="93" spans="1:11">
      <c r="A93" s="10">
        <v>5020</v>
      </c>
      <c r="B93" s="10">
        <v>3</v>
      </c>
      <c r="C93" s="10">
        <v>145</v>
      </c>
      <c r="D93" s="29">
        <v>1844.4</v>
      </c>
      <c r="E93" s="29">
        <v>461.96699999999998</v>
      </c>
      <c r="F93" s="30">
        <v>45838</v>
      </c>
      <c r="G93" s="10">
        <v>0</v>
      </c>
      <c r="H93" s="10">
        <v>0</v>
      </c>
      <c r="I93" s="10">
        <v>0</v>
      </c>
      <c r="J93" t="s">
        <v>54</v>
      </c>
      <c r="K93" s="10">
        <v>8002</v>
      </c>
    </row>
    <row r="94" spans="1:11">
      <c r="A94" s="10">
        <v>5011</v>
      </c>
      <c r="B94" s="10">
        <v>1</v>
      </c>
      <c r="C94" s="10">
        <v>211</v>
      </c>
      <c r="D94" s="29">
        <v>1730.2</v>
      </c>
      <c r="E94" s="29">
        <v>642.81600000000003</v>
      </c>
      <c r="F94" s="30">
        <v>45596</v>
      </c>
      <c r="G94" s="10">
        <v>0</v>
      </c>
      <c r="H94" s="10">
        <v>0</v>
      </c>
      <c r="I94" s="10">
        <v>0</v>
      </c>
      <c r="J94" t="s">
        <v>54</v>
      </c>
      <c r="K94" s="10">
        <v>8018</v>
      </c>
    </row>
    <row r="95" spans="1:11">
      <c r="A95" s="10">
        <v>5007</v>
      </c>
      <c r="B95" s="10">
        <v>1</v>
      </c>
      <c r="C95" s="10">
        <v>324</v>
      </c>
      <c r="D95" s="29">
        <v>3489.48</v>
      </c>
      <c r="E95" s="29">
        <v>1454.8030000000001</v>
      </c>
      <c r="F95" s="30">
        <v>45747</v>
      </c>
      <c r="G95" s="10">
        <v>0</v>
      </c>
      <c r="H95" s="10">
        <v>0</v>
      </c>
      <c r="I95" s="10">
        <v>0</v>
      </c>
      <c r="J95" t="s">
        <v>54</v>
      </c>
      <c r="K95" s="10">
        <v>8004</v>
      </c>
    </row>
    <row r="96" spans="1:11">
      <c r="A96" s="10">
        <v>5009</v>
      </c>
      <c r="B96" s="10">
        <v>1</v>
      </c>
      <c r="C96" s="10">
        <v>107</v>
      </c>
      <c r="D96" s="29">
        <v>1989.13</v>
      </c>
      <c r="E96" s="29">
        <v>711.30799999999999</v>
      </c>
      <c r="F96" s="30">
        <v>45838</v>
      </c>
      <c r="G96" s="10">
        <v>0</v>
      </c>
      <c r="H96" s="10">
        <v>0</v>
      </c>
      <c r="I96" s="10">
        <v>0</v>
      </c>
      <c r="J96" t="s">
        <v>54</v>
      </c>
      <c r="K96" s="10">
        <v>8005</v>
      </c>
    </row>
    <row r="97" spans="1:11">
      <c r="A97" s="10">
        <v>5009</v>
      </c>
      <c r="B97" s="10">
        <v>2</v>
      </c>
      <c r="C97" s="10">
        <v>177</v>
      </c>
      <c r="D97" s="29">
        <v>796.5</v>
      </c>
      <c r="E97" s="29">
        <v>253.53100000000001</v>
      </c>
      <c r="F97" s="30">
        <v>45504</v>
      </c>
      <c r="G97" s="10">
        <v>0</v>
      </c>
      <c r="H97" s="10">
        <v>0</v>
      </c>
      <c r="I97" s="10">
        <v>0</v>
      </c>
      <c r="J97" t="s">
        <v>54</v>
      </c>
      <c r="K97" s="10">
        <v>8022</v>
      </c>
    </row>
    <row r="98" spans="1:11">
      <c r="A98" s="10">
        <v>5002</v>
      </c>
      <c r="B98" s="10">
        <v>2</v>
      </c>
      <c r="C98" s="10">
        <v>48</v>
      </c>
      <c r="D98" s="29">
        <v>1143.8399999999999</v>
      </c>
      <c r="E98" s="29">
        <v>320.24799999999999</v>
      </c>
      <c r="F98" s="30">
        <v>45535</v>
      </c>
      <c r="G98" s="10">
        <v>0</v>
      </c>
      <c r="H98" s="10">
        <v>0</v>
      </c>
      <c r="I98" s="10">
        <v>0</v>
      </c>
      <c r="J98" t="s">
        <v>54</v>
      </c>
      <c r="K98" s="10">
        <v>8008</v>
      </c>
    </row>
    <row r="99" spans="1:11">
      <c r="A99" s="10">
        <v>5017</v>
      </c>
      <c r="B99" s="10">
        <v>3</v>
      </c>
      <c r="C99" s="10">
        <v>118</v>
      </c>
      <c r="D99" s="29">
        <v>928.66</v>
      </c>
      <c r="E99" s="29">
        <v>385.267</v>
      </c>
      <c r="F99" s="30">
        <v>45443</v>
      </c>
      <c r="G99" s="10">
        <v>0</v>
      </c>
      <c r="H99" s="10">
        <v>0</v>
      </c>
      <c r="I99" s="10">
        <v>0</v>
      </c>
      <c r="J99" t="s">
        <v>54</v>
      </c>
      <c r="K99" s="10">
        <v>8007</v>
      </c>
    </row>
    <row r="100" spans="1:11">
      <c r="A100" s="10">
        <v>5009</v>
      </c>
      <c r="B100" s="10">
        <v>5</v>
      </c>
      <c r="C100" s="10">
        <v>96</v>
      </c>
      <c r="D100" s="29">
        <v>2046.72</v>
      </c>
      <c r="E100" s="29">
        <v>474.47899999999998</v>
      </c>
      <c r="F100" s="30">
        <v>45535</v>
      </c>
      <c r="G100" s="10">
        <v>0</v>
      </c>
      <c r="H100" s="10">
        <v>0</v>
      </c>
      <c r="I100" s="10">
        <v>0</v>
      </c>
      <c r="J100" t="s">
        <v>54</v>
      </c>
      <c r="K100" s="10">
        <v>8004</v>
      </c>
    </row>
    <row r="101" spans="1:11">
      <c r="A101" s="10">
        <v>5006</v>
      </c>
      <c r="B101" s="10">
        <v>2</v>
      </c>
      <c r="C101" s="10">
        <v>217</v>
      </c>
      <c r="D101" s="29">
        <v>1753.36</v>
      </c>
      <c r="E101" s="29">
        <v>548.10699999999997</v>
      </c>
      <c r="F101" s="30">
        <v>45930</v>
      </c>
      <c r="G101" s="10">
        <v>0</v>
      </c>
      <c r="H101" s="10">
        <v>0</v>
      </c>
      <c r="I101" s="10">
        <v>0</v>
      </c>
      <c r="J101" t="s">
        <v>54</v>
      </c>
      <c r="K101" s="10">
        <v>8022</v>
      </c>
    </row>
    <row r="102" spans="1:11">
      <c r="A102" s="10">
        <v>5007</v>
      </c>
      <c r="B102" s="10">
        <v>2</v>
      </c>
      <c r="C102" s="10">
        <v>104</v>
      </c>
      <c r="D102" s="29">
        <v>1461.2</v>
      </c>
      <c r="E102" s="29">
        <v>406.78300000000002</v>
      </c>
      <c r="F102" s="30">
        <v>46022</v>
      </c>
      <c r="G102" s="10">
        <v>0</v>
      </c>
      <c r="H102" s="10">
        <v>0</v>
      </c>
      <c r="I102" s="10">
        <v>0</v>
      </c>
      <c r="J102" t="s">
        <v>54</v>
      </c>
      <c r="K102" s="10">
        <v>8002</v>
      </c>
    </row>
    <row r="103" spans="1:11">
      <c r="A103" s="10">
        <v>5003</v>
      </c>
      <c r="B103" s="10">
        <v>2</v>
      </c>
      <c r="C103" s="10">
        <v>-81</v>
      </c>
      <c r="D103" s="29">
        <v>-1540.62</v>
      </c>
      <c r="E103" s="29">
        <v>-209.19200000000001</v>
      </c>
      <c r="F103" s="30">
        <v>45596</v>
      </c>
      <c r="G103" s="10">
        <v>1</v>
      </c>
      <c r="H103" s="10">
        <v>1</v>
      </c>
      <c r="I103" s="10">
        <v>0</v>
      </c>
      <c r="J103" t="s">
        <v>2</v>
      </c>
      <c r="K103" s="10">
        <v>8011</v>
      </c>
    </row>
    <row r="104" spans="1:11">
      <c r="A104" s="10">
        <v>5005</v>
      </c>
      <c r="B104" s="10">
        <v>4</v>
      </c>
      <c r="C104" s="10">
        <v>-283</v>
      </c>
      <c r="D104" s="29">
        <v>-3622.4</v>
      </c>
      <c r="E104" s="29">
        <v>0</v>
      </c>
      <c r="F104" s="30">
        <v>45961</v>
      </c>
      <c r="G104" s="10">
        <v>1</v>
      </c>
      <c r="H104" s="10">
        <v>1</v>
      </c>
      <c r="I104" s="10">
        <v>0</v>
      </c>
      <c r="J104" t="s">
        <v>2</v>
      </c>
      <c r="K104" s="10">
        <v>8010</v>
      </c>
    </row>
    <row r="105" spans="1:11">
      <c r="A105" s="10">
        <v>5018</v>
      </c>
      <c r="B105" s="10">
        <v>2</v>
      </c>
      <c r="C105" s="10">
        <v>133</v>
      </c>
      <c r="D105" s="29">
        <v>1588.02</v>
      </c>
      <c r="E105" s="29">
        <v>423.35700000000003</v>
      </c>
      <c r="F105" s="30">
        <v>45777</v>
      </c>
      <c r="G105" s="10">
        <v>0</v>
      </c>
      <c r="H105" s="10">
        <v>0</v>
      </c>
      <c r="I105" s="10">
        <v>0</v>
      </c>
      <c r="J105" t="s">
        <v>54</v>
      </c>
      <c r="K105" s="10">
        <v>8019</v>
      </c>
    </row>
    <row r="106" spans="1:11">
      <c r="A106" s="10">
        <v>5002</v>
      </c>
      <c r="B106" s="10">
        <v>6</v>
      </c>
      <c r="C106" s="10">
        <v>61</v>
      </c>
      <c r="D106" s="29">
        <v>1047.98</v>
      </c>
      <c r="E106" s="29">
        <v>399.76100000000002</v>
      </c>
      <c r="F106" s="30">
        <v>45838</v>
      </c>
      <c r="G106" s="10">
        <v>0</v>
      </c>
      <c r="H106" s="10">
        <v>0</v>
      </c>
      <c r="I106" s="10">
        <v>0</v>
      </c>
      <c r="J106" t="s">
        <v>54</v>
      </c>
      <c r="K106" s="10">
        <v>8006</v>
      </c>
    </row>
    <row r="107" spans="1:11">
      <c r="A107" s="10">
        <v>5018</v>
      </c>
      <c r="B107" s="10">
        <v>1</v>
      </c>
      <c r="C107" s="10">
        <v>250</v>
      </c>
      <c r="D107" s="29">
        <v>4665</v>
      </c>
      <c r="E107" s="29">
        <v>789.94200000000001</v>
      </c>
      <c r="F107" s="30">
        <v>45991</v>
      </c>
      <c r="G107" s="10">
        <v>0</v>
      </c>
      <c r="H107" s="10">
        <v>0</v>
      </c>
      <c r="I107" s="10">
        <v>0</v>
      </c>
      <c r="J107" t="s">
        <v>54</v>
      </c>
      <c r="K107" s="10">
        <v>8004</v>
      </c>
    </row>
    <row r="108" spans="1:11">
      <c r="A108" s="10">
        <v>5010</v>
      </c>
      <c r="B108" s="10">
        <v>6</v>
      </c>
      <c r="C108" s="10">
        <v>126</v>
      </c>
      <c r="D108" s="29">
        <v>1440.18</v>
      </c>
      <c r="E108" s="29">
        <v>467.73399999999998</v>
      </c>
      <c r="F108" s="30">
        <v>45382</v>
      </c>
      <c r="G108" s="10">
        <v>0</v>
      </c>
      <c r="H108" s="10">
        <v>0</v>
      </c>
      <c r="I108" s="10">
        <v>0</v>
      </c>
      <c r="J108" t="s">
        <v>54</v>
      </c>
      <c r="K108" s="10">
        <v>8021</v>
      </c>
    </row>
    <row r="109" spans="1:11">
      <c r="A109" s="10">
        <v>5006</v>
      </c>
      <c r="B109" s="10">
        <v>5</v>
      </c>
      <c r="C109" s="10">
        <v>33</v>
      </c>
      <c r="D109" s="29">
        <v>642.51</v>
      </c>
      <c r="E109" s="29">
        <v>165.42</v>
      </c>
      <c r="F109" s="30">
        <v>45991</v>
      </c>
      <c r="G109" s="10">
        <v>0</v>
      </c>
      <c r="H109" s="10">
        <v>0</v>
      </c>
      <c r="I109" s="10">
        <v>0</v>
      </c>
      <c r="J109" t="s">
        <v>54</v>
      </c>
      <c r="K109" s="10">
        <v>8011</v>
      </c>
    </row>
    <row r="110" spans="1:11">
      <c r="A110" s="10">
        <v>5008</v>
      </c>
      <c r="B110" s="10">
        <v>4</v>
      </c>
      <c r="C110" s="10">
        <v>52</v>
      </c>
      <c r="D110" s="29">
        <v>184.6</v>
      </c>
      <c r="E110" s="29">
        <v>59.28</v>
      </c>
      <c r="F110" s="30">
        <v>45443</v>
      </c>
      <c r="G110" s="10">
        <v>0</v>
      </c>
      <c r="H110" s="10">
        <v>0</v>
      </c>
      <c r="I110" s="10">
        <v>0</v>
      </c>
      <c r="J110" t="s">
        <v>54</v>
      </c>
      <c r="K110" s="10">
        <v>8008</v>
      </c>
    </row>
    <row r="111" spans="1:11">
      <c r="A111" s="10">
        <v>5020</v>
      </c>
      <c r="B111" s="10">
        <v>2</v>
      </c>
      <c r="C111" s="10">
        <v>-77</v>
      </c>
      <c r="D111" s="29">
        <v>-575.19000000000005</v>
      </c>
      <c r="E111" s="29">
        <v>-95.010999999999996</v>
      </c>
      <c r="F111" s="30">
        <v>45535</v>
      </c>
      <c r="G111" s="10">
        <v>1</v>
      </c>
      <c r="H111" s="10">
        <v>1</v>
      </c>
      <c r="I111" s="10">
        <v>0</v>
      </c>
      <c r="J111" t="s">
        <v>2</v>
      </c>
      <c r="K111" s="10">
        <v>8002</v>
      </c>
    </row>
    <row r="112" spans="1:11">
      <c r="A112" s="10">
        <v>5002</v>
      </c>
      <c r="B112" s="10">
        <v>2</v>
      </c>
      <c r="C112" s="10">
        <v>148</v>
      </c>
      <c r="D112" s="29">
        <v>2365.04</v>
      </c>
      <c r="E112" s="29">
        <v>532.19399999999996</v>
      </c>
      <c r="F112" s="30">
        <v>45838</v>
      </c>
      <c r="G112" s="10">
        <v>0</v>
      </c>
      <c r="H112" s="10">
        <v>0</v>
      </c>
      <c r="I112" s="10">
        <v>0</v>
      </c>
      <c r="J112" t="s">
        <v>54</v>
      </c>
      <c r="K112" s="10">
        <v>8006</v>
      </c>
    </row>
    <row r="113" spans="1:11">
      <c r="A113" s="10">
        <v>5003</v>
      </c>
      <c r="B113" s="10">
        <v>2</v>
      </c>
      <c r="C113" s="10">
        <v>82</v>
      </c>
      <c r="D113" s="29">
        <v>1189</v>
      </c>
      <c r="E113" s="29">
        <v>497.12099999999998</v>
      </c>
      <c r="F113" s="30">
        <v>45961</v>
      </c>
      <c r="G113" s="10">
        <v>0</v>
      </c>
      <c r="H113" s="10">
        <v>0</v>
      </c>
      <c r="I113" s="10">
        <v>0</v>
      </c>
      <c r="J113" t="s">
        <v>54</v>
      </c>
      <c r="K113" s="10">
        <v>8004</v>
      </c>
    </row>
    <row r="114" spans="1:11">
      <c r="A114" s="10">
        <v>5028</v>
      </c>
      <c r="B114" s="10">
        <v>1</v>
      </c>
      <c r="C114" s="10">
        <v>156</v>
      </c>
      <c r="D114" s="29">
        <v>2655.12</v>
      </c>
      <c r="E114" s="29">
        <v>458.67599999999999</v>
      </c>
      <c r="F114" s="30">
        <v>45565</v>
      </c>
      <c r="G114" s="10">
        <v>0</v>
      </c>
      <c r="H114" s="10">
        <v>0</v>
      </c>
      <c r="I114" s="10">
        <v>0</v>
      </c>
      <c r="J114" t="s">
        <v>54</v>
      </c>
      <c r="K114" s="10">
        <v>8010</v>
      </c>
    </row>
    <row r="115" spans="1:11">
      <c r="A115" s="10">
        <v>5008</v>
      </c>
      <c r="B115" s="10">
        <v>1</v>
      </c>
      <c r="C115" s="10">
        <v>229</v>
      </c>
      <c r="D115" s="29">
        <v>3499.12</v>
      </c>
      <c r="E115" s="29">
        <v>1139.0360000000001</v>
      </c>
      <c r="F115" s="30">
        <v>45808</v>
      </c>
      <c r="G115" s="10">
        <v>0</v>
      </c>
      <c r="H115" s="10">
        <v>0</v>
      </c>
      <c r="I115" s="10">
        <v>0</v>
      </c>
      <c r="J115" t="s">
        <v>54</v>
      </c>
      <c r="K115" s="10">
        <v>8020</v>
      </c>
    </row>
    <row r="116" spans="1:11">
      <c r="A116" s="10">
        <v>5011</v>
      </c>
      <c r="B116" s="10">
        <v>3</v>
      </c>
      <c r="C116" s="10">
        <v>204</v>
      </c>
      <c r="D116" s="29">
        <v>3213</v>
      </c>
      <c r="E116" s="29">
        <v>1054.02</v>
      </c>
      <c r="F116" s="30">
        <v>45808</v>
      </c>
      <c r="G116" s="10">
        <v>0</v>
      </c>
      <c r="H116" s="10">
        <v>0</v>
      </c>
      <c r="I116" s="10">
        <v>0</v>
      </c>
      <c r="J116" t="s">
        <v>54</v>
      </c>
      <c r="K116" s="10">
        <v>8012</v>
      </c>
    </row>
    <row r="117" spans="1:11">
      <c r="A117" s="10">
        <v>5006</v>
      </c>
      <c r="B117" s="10">
        <v>3</v>
      </c>
      <c r="C117" s="10">
        <v>47</v>
      </c>
      <c r="D117" s="29">
        <v>392.45</v>
      </c>
      <c r="E117" s="29">
        <v>80.713999999999999</v>
      </c>
      <c r="F117" s="30">
        <v>45596</v>
      </c>
      <c r="G117" s="10">
        <v>0</v>
      </c>
      <c r="H117" s="10">
        <v>0</v>
      </c>
      <c r="I117" s="10">
        <v>0</v>
      </c>
      <c r="J117" t="s">
        <v>54</v>
      </c>
      <c r="K117" s="10">
        <v>8008</v>
      </c>
    </row>
    <row r="118" spans="1:11">
      <c r="A118" s="10">
        <v>5008</v>
      </c>
      <c r="B118" s="10">
        <v>2</v>
      </c>
      <c r="C118" s="10">
        <v>259</v>
      </c>
      <c r="D118" s="29">
        <v>5242.16</v>
      </c>
      <c r="E118" s="29">
        <v>1962.7660000000001</v>
      </c>
      <c r="F118" s="30">
        <v>45443</v>
      </c>
      <c r="G118" s="10">
        <v>0</v>
      </c>
      <c r="H118" s="10">
        <v>0</v>
      </c>
      <c r="I118" s="10">
        <v>0</v>
      </c>
      <c r="J118" t="s">
        <v>54</v>
      </c>
      <c r="K118" s="10">
        <v>8027</v>
      </c>
    </row>
    <row r="119" spans="1:11">
      <c r="A119" s="10">
        <v>5016</v>
      </c>
      <c r="B119" s="10">
        <v>1</v>
      </c>
      <c r="C119" s="10">
        <v>63</v>
      </c>
      <c r="D119" s="29">
        <v>1460.34</v>
      </c>
      <c r="E119" s="29">
        <v>600.62300000000005</v>
      </c>
      <c r="F119" s="30">
        <v>45657</v>
      </c>
      <c r="G119" s="10">
        <v>0</v>
      </c>
      <c r="H119" s="10">
        <v>0</v>
      </c>
      <c r="I119" s="10">
        <v>0</v>
      </c>
      <c r="J119" t="s">
        <v>54</v>
      </c>
      <c r="K119" s="10">
        <v>8013</v>
      </c>
    </row>
    <row r="120" spans="1:11">
      <c r="A120" s="10">
        <v>5012</v>
      </c>
      <c r="B120" s="10">
        <v>6</v>
      </c>
      <c r="C120" s="10">
        <v>173</v>
      </c>
      <c r="D120" s="29">
        <v>1716.16</v>
      </c>
      <c r="E120" s="29">
        <v>280.79599999999999</v>
      </c>
      <c r="F120" s="30">
        <v>45991</v>
      </c>
      <c r="G120" s="10">
        <v>0</v>
      </c>
      <c r="H120" s="10">
        <v>0</v>
      </c>
      <c r="I120" s="10">
        <v>0</v>
      </c>
      <c r="J120" t="s">
        <v>54</v>
      </c>
      <c r="K120" s="10">
        <v>8028</v>
      </c>
    </row>
    <row r="121" spans="1:11">
      <c r="A121" s="10">
        <v>5007</v>
      </c>
      <c r="B121" s="10">
        <v>3</v>
      </c>
      <c r="C121" s="10">
        <v>134</v>
      </c>
      <c r="D121" s="29">
        <v>2688.04</v>
      </c>
      <c r="E121" s="29">
        <v>505.80799999999999</v>
      </c>
      <c r="F121" s="30">
        <v>45716</v>
      </c>
      <c r="G121" s="10">
        <v>0</v>
      </c>
      <c r="H121" s="10">
        <v>0</v>
      </c>
      <c r="I121" s="10">
        <v>0</v>
      </c>
      <c r="J121" t="s">
        <v>54</v>
      </c>
      <c r="K121" s="10">
        <v>8010</v>
      </c>
    </row>
    <row r="122" spans="1:11">
      <c r="A122" s="10">
        <v>5001</v>
      </c>
      <c r="B122" s="10">
        <v>2</v>
      </c>
      <c r="C122" s="10">
        <v>-259</v>
      </c>
      <c r="D122" s="29">
        <v>-1737.89</v>
      </c>
      <c r="E122" s="29">
        <v>-289.19900000000001</v>
      </c>
      <c r="F122" s="30">
        <v>45535</v>
      </c>
      <c r="G122" s="10">
        <v>1</v>
      </c>
      <c r="H122" s="10">
        <v>1</v>
      </c>
      <c r="I122" s="10">
        <v>0</v>
      </c>
      <c r="J122" t="s">
        <v>2</v>
      </c>
      <c r="K122" s="10">
        <v>8019</v>
      </c>
    </row>
    <row r="123" spans="1:11">
      <c r="A123" s="10">
        <v>5006</v>
      </c>
      <c r="B123" s="10">
        <v>6</v>
      </c>
      <c r="C123" s="10">
        <v>63</v>
      </c>
      <c r="D123" s="29">
        <v>802.62</v>
      </c>
      <c r="E123" s="29">
        <v>313.57400000000001</v>
      </c>
      <c r="F123" s="30">
        <v>45596</v>
      </c>
      <c r="G123" s="10">
        <v>0</v>
      </c>
      <c r="H123" s="10">
        <v>0</v>
      </c>
      <c r="I123" s="10">
        <v>0</v>
      </c>
      <c r="J123" t="s">
        <v>54</v>
      </c>
      <c r="K123" s="10">
        <v>8002</v>
      </c>
    </row>
    <row r="124" spans="1:11">
      <c r="A124" s="10">
        <v>5007</v>
      </c>
      <c r="B124" s="10">
        <v>4</v>
      </c>
      <c r="C124" s="10">
        <v>233</v>
      </c>
      <c r="D124" s="29">
        <v>2586.3000000000002</v>
      </c>
      <c r="E124" s="29">
        <v>517.71500000000003</v>
      </c>
      <c r="F124" s="30">
        <v>45443</v>
      </c>
      <c r="G124" s="10">
        <v>0</v>
      </c>
      <c r="H124" s="10">
        <v>0</v>
      </c>
      <c r="I124" s="10">
        <v>0</v>
      </c>
      <c r="J124" t="s">
        <v>54</v>
      </c>
      <c r="K124" s="10">
        <v>8010</v>
      </c>
    </row>
    <row r="125" spans="1:11">
      <c r="A125" s="10">
        <v>5002</v>
      </c>
      <c r="B125" s="10">
        <v>2</v>
      </c>
      <c r="C125" s="10">
        <v>353</v>
      </c>
      <c r="D125" s="29">
        <v>893.09</v>
      </c>
      <c r="E125" s="29">
        <v>245.84899999999999</v>
      </c>
      <c r="F125" s="30">
        <v>45626</v>
      </c>
      <c r="G125" s="10">
        <v>0</v>
      </c>
      <c r="H125" s="10">
        <v>0</v>
      </c>
      <c r="I125" s="10">
        <v>0</v>
      </c>
      <c r="J125" t="s">
        <v>54</v>
      </c>
      <c r="K125" s="10">
        <v>8007</v>
      </c>
    </row>
    <row r="126" spans="1:11">
      <c r="A126" s="10">
        <v>5018</v>
      </c>
      <c r="B126" s="10">
        <v>3</v>
      </c>
      <c r="C126" s="10">
        <v>137</v>
      </c>
      <c r="D126" s="29">
        <v>3220.87</v>
      </c>
      <c r="E126" s="29">
        <v>848.75199999999995</v>
      </c>
      <c r="F126" s="30">
        <v>46022</v>
      </c>
      <c r="G126" s="10">
        <v>0</v>
      </c>
      <c r="H126" s="10">
        <v>0</v>
      </c>
      <c r="I126" s="10">
        <v>0</v>
      </c>
      <c r="J126" t="s">
        <v>54</v>
      </c>
      <c r="K126" s="10">
        <v>8002</v>
      </c>
    </row>
    <row r="127" spans="1:11">
      <c r="A127" s="10">
        <v>5002</v>
      </c>
      <c r="B127" s="10">
        <v>2</v>
      </c>
      <c r="C127" s="10">
        <v>167</v>
      </c>
      <c r="D127" s="29">
        <v>2680.35</v>
      </c>
      <c r="E127" s="29">
        <v>443.74</v>
      </c>
      <c r="F127" s="30">
        <v>45473</v>
      </c>
      <c r="G127" s="10">
        <v>0</v>
      </c>
      <c r="H127" s="10">
        <v>0</v>
      </c>
      <c r="I127" s="10">
        <v>0</v>
      </c>
      <c r="J127" t="s">
        <v>54</v>
      </c>
      <c r="K127" s="10">
        <v>8018</v>
      </c>
    </row>
    <row r="128" spans="1:11">
      <c r="A128" s="10">
        <v>5004</v>
      </c>
      <c r="B128" s="10">
        <v>2</v>
      </c>
      <c r="C128" s="10">
        <v>42</v>
      </c>
      <c r="D128" s="29">
        <v>789.18</v>
      </c>
      <c r="E128" s="29">
        <v>170.57900000000001</v>
      </c>
      <c r="F128" s="30">
        <v>45930</v>
      </c>
      <c r="G128" s="10">
        <v>0</v>
      </c>
      <c r="H128" s="10">
        <v>0</v>
      </c>
      <c r="I128" s="10">
        <v>0</v>
      </c>
      <c r="J128" t="s">
        <v>54</v>
      </c>
      <c r="K128" s="10">
        <v>8002</v>
      </c>
    </row>
    <row r="129" spans="1:11">
      <c r="A129" s="10">
        <v>5005</v>
      </c>
      <c r="B129" s="10">
        <v>5</v>
      </c>
      <c r="C129" s="10">
        <v>12</v>
      </c>
      <c r="D129" s="29">
        <v>250.32</v>
      </c>
      <c r="E129" s="29">
        <v>48.512</v>
      </c>
      <c r="F129" s="30">
        <v>45991</v>
      </c>
      <c r="G129" s="10">
        <v>0</v>
      </c>
      <c r="H129" s="10">
        <v>0</v>
      </c>
      <c r="I129" s="10">
        <v>0</v>
      </c>
      <c r="J129" t="s">
        <v>54</v>
      </c>
      <c r="K129" s="10">
        <v>8002</v>
      </c>
    </row>
    <row r="130" spans="1:11">
      <c r="A130" s="10">
        <v>5003</v>
      </c>
      <c r="B130" s="10">
        <v>1</v>
      </c>
      <c r="C130" s="10">
        <v>24</v>
      </c>
      <c r="D130" s="29">
        <v>464.16</v>
      </c>
      <c r="E130" s="29">
        <v>113.339</v>
      </c>
      <c r="F130" s="30">
        <v>45535</v>
      </c>
      <c r="G130" s="10">
        <v>0</v>
      </c>
      <c r="H130" s="10">
        <v>0</v>
      </c>
      <c r="I130" s="10">
        <v>0</v>
      </c>
      <c r="J130" t="s">
        <v>54</v>
      </c>
      <c r="K130" s="10">
        <v>8010</v>
      </c>
    </row>
    <row r="131" spans="1:11">
      <c r="A131" s="10">
        <v>5001</v>
      </c>
      <c r="B131" s="10">
        <v>2</v>
      </c>
      <c r="C131" s="10">
        <v>192</v>
      </c>
      <c r="D131" s="29">
        <v>2375.04</v>
      </c>
      <c r="E131" s="29">
        <v>696.93600000000004</v>
      </c>
      <c r="F131" s="30">
        <v>45473</v>
      </c>
      <c r="G131" s="10">
        <v>0</v>
      </c>
      <c r="H131" s="10">
        <v>0</v>
      </c>
      <c r="I131" s="10">
        <v>0</v>
      </c>
      <c r="J131" t="s">
        <v>54</v>
      </c>
      <c r="K131" s="10">
        <v>8013</v>
      </c>
    </row>
    <row r="132" spans="1:11">
      <c r="A132" s="10">
        <v>5008</v>
      </c>
      <c r="B132" s="10">
        <v>1</v>
      </c>
      <c r="C132" s="10">
        <v>223</v>
      </c>
      <c r="D132" s="29">
        <v>4694.1499999999996</v>
      </c>
      <c r="E132" s="29">
        <v>1310.095</v>
      </c>
      <c r="F132" s="30">
        <v>45412</v>
      </c>
      <c r="G132" s="10">
        <v>0</v>
      </c>
      <c r="H132" s="10">
        <v>0</v>
      </c>
      <c r="I132" s="10">
        <v>0</v>
      </c>
      <c r="J132" t="s">
        <v>54</v>
      </c>
      <c r="K132" s="10">
        <v>8024</v>
      </c>
    </row>
    <row r="133" spans="1:11">
      <c r="A133" s="10">
        <v>5001</v>
      </c>
      <c r="B133" s="10">
        <v>2</v>
      </c>
      <c r="C133" s="10">
        <v>191</v>
      </c>
      <c r="D133" s="29">
        <v>2421.88</v>
      </c>
      <c r="E133" s="29">
        <v>433.77699999999999</v>
      </c>
      <c r="F133" s="30">
        <v>46022</v>
      </c>
      <c r="G133" s="10">
        <v>0</v>
      </c>
      <c r="H133" s="10">
        <v>0</v>
      </c>
      <c r="I133" s="10">
        <v>0</v>
      </c>
      <c r="J133" t="s">
        <v>54</v>
      </c>
      <c r="K133" s="10">
        <v>8006</v>
      </c>
    </row>
    <row r="134" spans="1:11">
      <c r="A134" s="10">
        <v>5010</v>
      </c>
      <c r="B134" s="10">
        <v>1</v>
      </c>
      <c r="C134" s="10">
        <v>174</v>
      </c>
      <c r="D134" s="29">
        <v>2430.7800000000002</v>
      </c>
      <c r="E134" s="29">
        <v>1017.532</v>
      </c>
      <c r="F134" s="30">
        <v>45382</v>
      </c>
      <c r="G134" s="10">
        <v>0</v>
      </c>
      <c r="H134" s="10">
        <v>0</v>
      </c>
      <c r="I134" s="10">
        <v>0</v>
      </c>
      <c r="J134" t="s">
        <v>54</v>
      </c>
      <c r="K134" s="10">
        <v>8001</v>
      </c>
    </row>
    <row r="135" spans="1:11">
      <c r="A135" s="10">
        <v>5007</v>
      </c>
      <c r="B135" s="10">
        <v>1</v>
      </c>
      <c r="C135" s="10">
        <v>195</v>
      </c>
      <c r="D135" s="29">
        <v>4042.35</v>
      </c>
      <c r="E135" s="29">
        <v>1454.9639999999999</v>
      </c>
      <c r="F135" s="30">
        <v>45716</v>
      </c>
      <c r="G135" s="10">
        <v>0</v>
      </c>
      <c r="H135" s="10">
        <v>0</v>
      </c>
      <c r="I135" s="10">
        <v>0</v>
      </c>
      <c r="J135" t="s">
        <v>54</v>
      </c>
      <c r="K135" s="10">
        <v>8009</v>
      </c>
    </row>
    <row r="136" spans="1:11">
      <c r="A136" s="10">
        <v>5003</v>
      </c>
      <c r="B136" s="10">
        <v>1</v>
      </c>
      <c r="C136" s="10">
        <v>102</v>
      </c>
      <c r="D136" s="29">
        <v>1210.74</v>
      </c>
      <c r="E136" s="29">
        <v>223.65100000000001</v>
      </c>
      <c r="F136" s="30">
        <v>45900</v>
      </c>
      <c r="G136" s="10">
        <v>0</v>
      </c>
      <c r="H136" s="10">
        <v>0</v>
      </c>
      <c r="I136" s="10">
        <v>0</v>
      </c>
      <c r="J136" t="s">
        <v>54</v>
      </c>
      <c r="K136" s="10">
        <v>8006</v>
      </c>
    </row>
    <row r="137" spans="1:11">
      <c r="A137" s="10">
        <v>5011</v>
      </c>
      <c r="B137" s="10">
        <v>1</v>
      </c>
      <c r="C137" s="10">
        <v>360</v>
      </c>
      <c r="D137" s="29">
        <v>1184.4000000000001</v>
      </c>
      <c r="E137" s="29">
        <v>218.214</v>
      </c>
      <c r="F137" s="30">
        <v>45626</v>
      </c>
      <c r="G137" s="10">
        <v>0</v>
      </c>
      <c r="H137" s="10">
        <v>0</v>
      </c>
      <c r="I137" s="10">
        <v>0</v>
      </c>
      <c r="J137" t="s">
        <v>54</v>
      </c>
      <c r="K137" s="10">
        <v>8004</v>
      </c>
    </row>
    <row r="138" spans="1:11">
      <c r="A138" s="10">
        <v>5013</v>
      </c>
      <c r="B138" s="10">
        <v>2</v>
      </c>
      <c r="C138" s="10">
        <v>148</v>
      </c>
      <c r="D138" s="29">
        <v>2111.96</v>
      </c>
      <c r="E138" s="29">
        <v>405.03199999999998</v>
      </c>
      <c r="F138" s="30">
        <v>45412</v>
      </c>
      <c r="G138" s="10">
        <v>0</v>
      </c>
      <c r="H138" s="10">
        <v>0</v>
      </c>
      <c r="I138" s="10">
        <v>0</v>
      </c>
      <c r="J138" t="s">
        <v>54</v>
      </c>
      <c r="K138" s="10">
        <v>8016</v>
      </c>
    </row>
    <row r="139" spans="1:11">
      <c r="A139" s="10">
        <v>5011</v>
      </c>
      <c r="B139" s="10">
        <v>5</v>
      </c>
      <c r="C139" s="10">
        <v>172</v>
      </c>
      <c r="D139" s="29">
        <v>4007.6</v>
      </c>
      <c r="E139" s="29">
        <v>1007.623</v>
      </c>
      <c r="F139" s="30">
        <v>45626</v>
      </c>
      <c r="G139" s="10">
        <v>0</v>
      </c>
      <c r="H139" s="10">
        <v>0</v>
      </c>
      <c r="I139" s="10">
        <v>0</v>
      </c>
      <c r="J139" t="s">
        <v>54</v>
      </c>
      <c r="K139" s="10">
        <v>8014</v>
      </c>
    </row>
    <row r="140" spans="1:11">
      <c r="A140" s="10">
        <v>5003</v>
      </c>
      <c r="B140" s="10">
        <v>1</v>
      </c>
      <c r="C140" s="10">
        <v>56</v>
      </c>
      <c r="D140" s="29">
        <v>1151.92</v>
      </c>
      <c r="E140" s="29">
        <v>412.70699999999999</v>
      </c>
      <c r="F140" s="30">
        <v>45777</v>
      </c>
      <c r="G140" s="10">
        <v>0</v>
      </c>
      <c r="H140" s="10">
        <v>0</v>
      </c>
      <c r="I140" s="10">
        <v>0</v>
      </c>
      <c r="J140" t="s">
        <v>54</v>
      </c>
      <c r="K140" s="10">
        <v>8010</v>
      </c>
    </row>
    <row r="141" spans="1:11">
      <c r="A141" s="10">
        <v>5016</v>
      </c>
      <c r="B141" s="10">
        <v>6</v>
      </c>
      <c r="C141" s="10">
        <v>142</v>
      </c>
      <c r="D141" s="29">
        <v>2189.64</v>
      </c>
      <c r="E141" s="29">
        <v>365.28899999999999</v>
      </c>
      <c r="F141" s="30">
        <v>45777</v>
      </c>
      <c r="G141" s="10">
        <v>0</v>
      </c>
      <c r="H141" s="10">
        <v>0</v>
      </c>
      <c r="I141" s="10">
        <v>0</v>
      </c>
      <c r="J141" t="s">
        <v>54</v>
      </c>
      <c r="K141" s="10">
        <v>8017</v>
      </c>
    </row>
    <row r="142" spans="1:11">
      <c r="A142" s="10">
        <v>5017</v>
      </c>
      <c r="B142" s="10">
        <v>1</v>
      </c>
      <c r="C142" s="10">
        <v>244</v>
      </c>
      <c r="D142" s="29">
        <v>2113.04</v>
      </c>
      <c r="E142" s="29">
        <v>341.44099999999997</v>
      </c>
      <c r="F142" s="30">
        <v>45991</v>
      </c>
      <c r="G142" s="10">
        <v>0</v>
      </c>
      <c r="H142" s="10">
        <v>0</v>
      </c>
      <c r="I142" s="10">
        <v>0</v>
      </c>
      <c r="J142" t="s">
        <v>54</v>
      </c>
      <c r="K142" s="10">
        <v>8003</v>
      </c>
    </row>
    <row r="143" spans="1:11">
      <c r="A143" s="10">
        <v>5009</v>
      </c>
      <c r="B143" s="10">
        <v>1</v>
      </c>
      <c r="C143" s="10">
        <v>218</v>
      </c>
      <c r="D143" s="29">
        <v>540.64</v>
      </c>
      <c r="E143" s="29">
        <v>116.74299999999999</v>
      </c>
      <c r="F143" s="30">
        <v>45991</v>
      </c>
      <c r="G143" s="10">
        <v>0</v>
      </c>
      <c r="H143" s="10">
        <v>0</v>
      </c>
      <c r="I143" s="10">
        <v>0</v>
      </c>
      <c r="J143" t="s">
        <v>54</v>
      </c>
      <c r="K143" s="10">
        <v>8005</v>
      </c>
    </row>
    <row r="144" spans="1:11">
      <c r="A144" s="10">
        <v>5005</v>
      </c>
      <c r="B144" s="10">
        <v>3</v>
      </c>
      <c r="C144" s="10">
        <v>-229</v>
      </c>
      <c r="D144" s="29">
        <v>-3297.6</v>
      </c>
      <c r="E144" s="29">
        <v>0</v>
      </c>
      <c r="F144" s="30">
        <v>45626</v>
      </c>
      <c r="G144" s="10">
        <v>1</v>
      </c>
      <c r="H144" s="10">
        <v>1</v>
      </c>
      <c r="I144" s="10">
        <v>0</v>
      </c>
      <c r="J144" t="s">
        <v>2</v>
      </c>
      <c r="K144" s="10">
        <v>8004</v>
      </c>
    </row>
    <row r="145" spans="1:11">
      <c r="A145" s="10">
        <v>5010</v>
      </c>
      <c r="B145" s="10">
        <v>1</v>
      </c>
      <c r="C145" s="10">
        <v>182</v>
      </c>
      <c r="D145" s="29">
        <v>2289.56</v>
      </c>
      <c r="E145" s="29">
        <v>528.94200000000001</v>
      </c>
      <c r="F145" s="30">
        <v>45473</v>
      </c>
      <c r="G145" s="10">
        <v>0</v>
      </c>
      <c r="H145" s="10">
        <v>0</v>
      </c>
      <c r="I145" s="10">
        <v>0</v>
      </c>
      <c r="J145" t="s">
        <v>54</v>
      </c>
      <c r="K145" s="10">
        <v>8010</v>
      </c>
    </row>
    <row r="146" spans="1:11">
      <c r="A146" s="10">
        <v>5002</v>
      </c>
      <c r="B146" s="10">
        <v>1</v>
      </c>
      <c r="C146" s="10">
        <v>187</v>
      </c>
      <c r="D146" s="29">
        <v>2356.1999999999998</v>
      </c>
      <c r="E146" s="29">
        <v>404.815</v>
      </c>
      <c r="F146" s="30">
        <v>45930</v>
      </c>
      <c r="G146" s="10">
        <v>0</v>
      </c>
      <c r="H146" s="10">
        <v>0</v>
      </c>
      <c r="I146" s="10">
        <v>0</v>
      </c>
      <c r="J146" t="s">
        <v>54</v>
      </c>
      <c r="K146" s="10">
        <v>8005</v>
      </c>
    </row>
    <row r="147" spans="1:11">
      <c r="A147" s="10">
        <v>5010</v>
      </c>
      <c r="B147" s="10">
        <v>1</v>
      </c>
      <c r="C147" s="10">
        <v>95</v>
      </c>
      <c r="D147" s="29">
        <v>460.75</v>
      </c>
      <c r="E147" s="29">
        <v>113.027</v>
      </c>
      <c r="F147" s="30">
        <v>45626</v>
      </c>
      <c r="G147" s="10">
        <v>0</v>
      </c>
      <c r="H147" s="10">
        <v>0</v>
      </c>
      <c r="I147" s="10">
        <v>0</v>
      </c>
      <c r="J147" t="s">
        <v>54</v>
      </c>
      <c r="K147" s="10">
        <v>8001</v>
      </c>
    </row>
    <row r="148" spans="1:11">
      <c r="A148" s="10">
        <v>5013</v>
      </c>
      <c r="B148" s="10">
        <v>2</v>
      </c>
      <c r="C148" s="10">
        <v>179</v>
      </c>
      <c r="D148" s="29">
        <v>2310.89</v>
      </c>
      <c r="E148" s="29">
        <v>854.13300000000004</v>
      </c>
      <c r="F148" s="30">
        <v>45322</v>
      </c>
      <c r="G148" s="10">
        <v>0</v>
      </c>
      <c r="H148" s="10">
        <v>0</v>
      </c>
      <c r="I148" s="10">
        <v>0</v>
      </c>
      <c r="J148" t="s">
        <v>54</v>
      </c>
      <c r="K148" s="10">
        <v>8002</v>
      </c>
    </row>
    <row r="149" spans="1:11">
      <c r="A149" s="10">
        <v>5018</v>
      </c>
      <c r="B149" s="10">
        <v>1</v>
      </c>
      <c r="C149" s="10">
        <v>287</v>
      </c>
      <c r="D149" s="29">
        <v>6009.78</v>
      </c>
      <c r="E149" s="29">
        <v>1857.5260000000001</v>
      </c>
      <c r="F149" s="30">
        <v>45382</v>
      </c>
      <c r="G149" s="10">
        <v>0</v>
      </c>
      <c r="H149" s="10">
        <v>0</v>
      </c>
      <c r="I149" s="10">
        <v>0</v>
      </c>
      <c r="J149" t="s">
        <v>54</v>
      </c>
      <c r="K149" s="10">
        <v>8001</v>
      </c>
    </row>
    <row r="150" spans="1:11">
      <c r="A150" s="10">
        <v>5006</v>
      </c>
      <c r="B150" s="10">
        <v>1</v>
      </c>
      <c r="C150" s="10">
        <v>99</v>
      </c>
      <c r="D150" s="29">
        <v>1939.41</v>
      </c>
      <c r="E150" s="29">
        <v>729.85199999999998</v>
      </c>
      <c r="F150" s="30">
        <v>45869</v>
      </c>
      <c r="G150" s="10">
        <v>0</v>
      </c>
      <c r="H150" s="10">
        <v>0</v>
      </c>
      <c r="I150" s="10">
        <v>0</v>
      </c>
      <c r="J150" t="s">
        <v>54</v>
      </c>
      <c r="K150" s="10">
        <v>8002</v>
      </c>
    </row>
    <row r="151" spans="1:11">
      <c r="A151" s="10">
        <v>5002</v>
      </c>
      <c r="B151" s="10">
        <v>1</v>
      </c>
      <c r="C151" s="10">
        <v>202</v>
      </c>
      <c r="D151" s="29">
        <v>2712.86</v>
      </c>
      <c r="E151" s="29">
        <v>652.90800000000002</v>
      </c>
      <c r="F151" s="30">
        <v>45991</v>
      </c>
      <c r="G151" s="10">
        <v>0</v>
      </c>
      <c r="H151" s="10">
        <v>0</v>
      </c>
      <c r="I151" s="10">
        <v>0</v>
      </c>
      <c r="J151" t="s">
        <v>54</v>
      </c>
      <c r="K151" s="10">
        <v>8017</v>
      </c>
    </row>
    <row r="152" spans="1:11">
      <c r="A152" s="10">
        <v>5005</v>
      </c>
      <c r="B152" s="10">
        <v>2</v>
      </c>
      <c r="C152" s="10">
        <v>57</v>
      </c>
      <c r="D152" s="29">
        <v>747.84</v>
      </c>
      <c r="E152" s="29">
        <v>187.58600000000001</v>
      </c>
      <c r="F152" s="30">
        <v>45596</v>
      </c>
      <c r="G152" s="10">
        <v>0</v>
      </c>
      <c r="H152" s="10">
        <v>0</v>
      </c>
      <c r="I152" s="10">
        <v>0</v>
      </c>
      <c r="J152" t="s">
        <v>54</v>
      </c>
      <c r="K152" s="10">
        <v>8002</v>
      </c>
    </row>
    <row r="153" spans="1:11">
      <c r="A153" s="10">
        <v>5016</v>
      </c>
      <c r="B153" s="10">
        <v>1</v>
      </c>
      <c r="C153" s="10">
        <v>64</v>
      </c>
      <c r="D153" s="29">
        <v>395.52</v>
      </c>
      <c r="E153" s="29">
        <v>141.46</v>
      </c>
      <c r="F153" s="30">
        <v>45900</v>
      </c>
      <c r="G153" s="10">
        <v>0</v>
      </c>
      <c r="H153" s="10">
        <v>0</v>
      </c>
      <c r="I153" s="10">
        <v>0</v>
      </c>
      <c r="J153" t="s">
        <v>54</v>
      </c>
      <c r="K153" s="10">
        <v>8016</v>
      </c>
    </row>
    <row r="154" spans="1:11">
      <c r="A154" s="10">
        <v>5003</v>
      </c>
      <c r="B154" s="10">
        <v>2</v>
      </c>
      <c r="C154" s="10">
        <v>195</v>
      </c>
      <c r="D154" s="29">
        <v>3640.65</v>
      </c>
      <c r="E154" s="29">
        <v>1457.28</v>
      </c>
      <c r="F154" s="30">
        <v>45838</v>
      </c>
      <c r="G154" s="10">
        <v>0</v>
      </c>
      <c r="H154" s="10">
        <v>0</v>
      </c>
      <c r="I154" s="10">
        <v>0</v>
      </c>
      <c r="J154" t="s">
        <v>54</v>
      </c>
      <c r="K154" s="10">
        <v>8014</v>
      </c>
    </row>
    <row r="155" spans="1:11">
      <c r="A155" s="10">
        <v>5011</v>
      </c>
      <c r="B155" s="10">
        <v>5</v>
      </c>
      <c r="C155" s="10">
        <v>-118</v>
      </c>
      <c r="D155" s="29">
        <v>-607.70000000000005</v>
      </c>
      <c r="E155" s="29">
        <v>0</v>
      </c>
      <c r="F155" s="30">
        <v>45747</v>
      </c>
      <c r="G155" s="10">
        <v>1</v>
      </c>
      <c r="H155" s="10">
        <v>1</v>
      </c>
      <c r="I155" s="10">
        <v>0</v>
      </c>
      <c r="J155" t="s">
        <v>2</v>
      </c>
      <c r="K155" s="10">
        <v>8009</v>
      </c>
    </row>
    <row r="156" spans="1:11">
      <c r="A156" s="10">
        <v>5004</v>
      </c>
      <c r="B156" s="10">
        <v>2</v>
      </c>
      <c r="C156" s="10">
        <v>-97</v>
      </c>
      <c r="D156" s="29">
        <v>-1147.51</v>
      </c>
      <c r="E156" s="29">
        <v>-47.633000000000003</v>
      </c>
      <c r="F156" s="30">
        <v>45596</v>
      </c>
      <c r="G156" s="10">
        <v>1</v>
      </c>
      <c r="H156" s="10">
        <v>1</v>
      </c>
      <c r="I156" s="10">
        <v>0</v>
      </c>
      <c r="J156" t="s">
        <v>2</v>
      </c>
      <c r="K156" s="10">
        <v>8001</v>
      </c>
    </row>
    <row r="157" spans="1:11">
      <c r="A157" s="10">
        <v>5018</v>
      </c>
      <c r="B157" s="10">
        <v>2</v>
      </c>
      <c r="C157" s="10">
        <v>149</v>
      </c>
      <c r="D157" s="29">
        <v>2102.39</v>
      </c>
      <c r="E157" s="29">
        <v>826.08799999999997</v>
      </c>
      <c r="F157" s="30">
        <v>45991</v>
      </c>
      <c r="G157" s="10">
        <v>0</v>
      </c>
      <c r="H157" s="10">
        <v>0</v>
      </c>
      <c r="I157" s="10">
        <v>0</v>
      </c>
      <c r="J157" t="s">
        <v>54</v>
      </c>
      <c r="K157" s="10">
        <v>8009</v>
      </c>
    </row>
    <row r="158" spans="1:11">
      <c r="A158" s="10">
        <v>5016</v>
      </c>
      <c r="B158" s="10">
        <v>1</v>
      </c>
      <c r="C158" s="10">
        <v>-146</v>
      </c>
      <c r="D158" s="29">
        <v>-751.9</v>
      </c>
      <c r="E158" s="29">
        <v>0</v>
      </c>
      <c r="F158" s="30">
        <v>45657</v>
      </c>
      <c r="G158" s="10">
        <v>1</v>
      </c>
      <c r="H158" s="10">
        <v>1</v>
      </c>
      <c r="I158" s="10">
        <v>0</v>
      </c>
      <c r="J158" t="s">
        <v>2</v>
      </c>
      <c r="K158" s="10">
        <v>8010</v>
      </c>
    </row>
    <row r="159" spans="1:11">
      <c r="A159" s="10">
        <v>5005</v>
      </c>
      <c r="B159" s="10">
        <v>2</v>
      </c>
      <c r="C159" s="10">
        <v>79</v>
      </c>
      <c r="D159" s="29">
        <v>576.70000000000005</v>
      </c>
      <c r="E159" s="29">
        <v>158.16</v>
      </c>
      <c r="F159" s="30">
        <v>45991</v>
      </c>
      <c r="G159" s="10">
        <v>0</v>
      </c>
      <c r="H159" s="10">
        <v>0</v>
      </c>
      <c r="I159" s="10">
        <v>0</v>
      </c>
      <c r="J159" t="s">
        <v>54</v>
      </c>
      <c r="K159" s="10">
        <v>8012</v>
      </c>
    </row>
    <row r="160" spans="1:11">
      <c r="A160" s="10">
        <v>5003</v>
      </c>
      <c r="B160" s="10">
        <v>1</v>
      </c>
      <c r="C160" s="10">
        <v>117</v>
      </c>
      <c r="D160" s="29">
        <v>1089.27</v>
      </c>
      <c r="E160" s="29">
        <v>397.8</v>
      </c>
      <c r="F160" s="30">
        <v>45716</v>
      </c>
      <c r="G160" s="10">
        <v>0</v>
      </c>
      <c r="H160" s="10">
        <v>0</v>
      </c>
      <c r="I160" s="10">
        <v>0</v>
      </c>
      <c r="J160" t="s">
        <v>54</v>
      </c>
      <c r="K160" s="10">
        <v>8004</v>
      </c>
    </row>
    <row r="161" spans="1:11">
      <c r="A161" s="10">
        <v>5001</v>
      </c>
      <c r="B161" s="10">
        <v>3</v>
      </c>
      <c r="C161" s="10">
        <v>76</v>
      </c>
      <c r="D161" s="29">
        <v>1358.12</v>
      </c>
      <c r="E161" s="29">
        <v>537.33900000000006</v>
      </c>
      <c r="F161" s="30">
        <v>45838</v>
      </c>
      <c r="G161" s="10">
        <v>0</v>
      </c>
      <c r="H161" s="10">
        <v>0</v>
      </c>
      <c r="I161" s="10">
        <v>0</v>
      </c>
      <c r="J161" t="s">
        <v>54</v>
      </c>
      <c r="K161" s="10">
        <v>8001</v>
      </c>
    </row>
    <row r="162" spans="1:11">
      <c r="A162" s="10">
        <v>5005</v>
      </c>
      <c r="B162" s="10">
        <v>1</v>
      </c>
      <c r="C162" s="10">
        <v>131</v>
      </c>
      <c r="D162" s="29">
        <v>3049.68</v>
      </c>
      <c r="E162" s="29">
        <v>798.73900000000003</v>
      </c>
      <c r="F162" s="30">
        <v>45991</v>
      </c>
      <c r="G162" s="10">
        <v>0</v>
      </c>
      <c r="H162" s="10">
        <v>0</v>
      </c>
      <c r="I162" s="10">
        <v>0</v>
      </c>
      <c r="J162" t="s">
        <v>54</v>
      </c>
      <c r="K162" s="10">
        <v>8009</v>
      </c>
    </row>
    <row r="163" spans="1:11">
      <c r="A163" s="10">
        <v>5023</v>
      </c>
      <c r="B163" s="10">
        <v>2</v>
      </c>
      <c r="C163" s="10">
        <v>207</v>
      </c>
      <c r="D163" s="29">
        <v>4108.95</v>
      </c>
      <c r="E163" s="29">
        <v>1543.0309999999999</v>
      </c>
      <c r="F163" s="30">
        <v>45777</v>
      </c>
      <c r="G163" s="10">
        <v>0</v>
      </c>
      <c r="H163" s="10">
        <v>0</v>
      </c>
      <c r="I163" s="10">
        <v>0</v>
      </c>
      <c r="J163" t="s">
        <v>54</v>
      </c>
      <c r="K163" s="10">
        <v>8004</v>
      </c>
    </row>
    <row r="164" spans="1:11">
      <c r="A164" s="10">
        <v>5012</v>
      </c>
      <c r="B164" s="10">
        <v>3</v>
      </c>
      <c r="C164" s="10">
        <v>101</v>
      </c>
      <c r="D164" s="29">
        <v>992.83</v>
      </c>
      <c r="E164" s="29">
        <v>205.38499999999999</v>
      </c>
      <c r="F164" s="30">
        <v>45900</v>
      </c>
      <c r="G164" s="10">
        <v>0</v>
      </c>
      <c r="H164" s="10">
        <v>0</v>
      </c>
      <c r="I164" s="10">
        <v>0</v>
      </c>
      <c r="J164" t="s">
        <v>54</v>
      </c>
      <c r="K164" s="10">
        <v>8007</v>
      </c>
    </row>
    <row r="165" spans="1:11">
      <c r="A165" s="10">
        <v>5024</v>
      </c>
      <c r="B165" s="10">
        <v>1</v>
      </c>
      <c r="C165" s="10">
        <v>62</v>
      </c>
      <c r="D165" s="29">
        <v>217.62</v>
      </c>
      <c r="E165" s="29">
        <v>40.542000000000002</v>
      </c>
      <c r="F165" s="30">
        <v>45504</v>
      </c>
      <c r="G165" s="10">
        <v>0</v>
      </c>
      <c r="H165" s="10">
        <v>0</v>
      </c>
      <c r="I165" s="10">
        <v>0</v>
      </c>
      <c r="J165" t="s">
        <v>54</v>
      </c>
      <c r="K165" s="10">
        <v>8007</v>
      </c>
    </row>
    <row r="166" spans="1:11">
      <c r="A166" s="10">
        <v>5017</v>
      </c>
      <c r="B166" s="10">
        <v>1</v>
      </c>
      <c r="C166" s="10">
        <v>102</v>
      </c>
      <c r="D166" s="29">
        <v>1918.62</v>
      </c>
      <c r="E166" s="29">
        <v>494.90300000000002</v>
      </c>
      <c r="F166" s="30">
        <v>45930</v>
      </c>
      <c r="G166" s="10">
        <v>0</v>
      </c>
      <c r="H166" s="10">
        <v>0</v>
      </c>
      <c r="I166" s="10">
        <v>0</v>
      </c>
      <c r="J166" t="s">
        <v>54</v>
      </c>
      <c r="K166" s="10">
        <v>8019</v>
      </c>
    </row>
    <row r="167" spans="1:11">
      <c r="A167" s="10">
        <v>5017</v>
      </c>
      <c r="B167" s="10">
        <v>4</v>
      </c>
      <c r="C167" s="10">
        <v>52</v>
      </c>
      <c r="D167" s="29">
        <v>599.04</v>
      </c>
      <c r="E167" s="29">
        <v>201.19</v>
      </c>
      <c r="F167" s="30">
        <v>45473</v>
      </c>
      <c r="G167" s="10">
        <v>0</v>
      </c>
      <c r="H167" s="10">
        <v>0</v>
      </c>
      <c r="I167" s="10">
        <v>0</v>
      </c>
      <c r="J167" t="s">
        <v>54</v>
      </c>
      <c r="K167" s="10">
        <v>8014</v>
      </c>
    </row>
    <row r="168" spans="1:11">
      <c r="A168" s="10">
        <v>5006</v>
      </c>
      <c r="B168" s="10">
        <v>4</v>
      </c>
      <c r="C168" s="10">
        <v>97</v>
      </c>
      <c r="D168" s="29">
        <v>1325.02</v>
      </c>
      <c r="E168" s="29">
        <v>490.57799999999997</v>
      </c>
      <c r="F168" s="30">
        <v>45535</v>
      </c>
      <c r="G168" s="10">
        <v>0</v>
      </c>
      <c r="H168" s="10">
        <v>0</v>
      </c>
      <c r="I168" s="10">
        <v>0</v>
      </c>
      <c r="J168" t="s">
        <v>54</v>
      </c>
      <c r="K168" s="10">
        <v>8003</v>
      </c>
    </row>
    <row r="169" spans="1:11">
      <c r="A169" s="10">
        <v>5017</v>
      </c>
      <c r="B169" s="10">
        <v>6</v>
      </c>
      <c r="C169" s="10">
        <v>225</v>
      </c>
      <c r="D169" s="29">
        <v>2711.25</v>
      </c>
      <c r="E169" s="29">
        <v>702.99099999999999</v>
      </c>
      <c r="F169" s="30">
        <v>45657</v>
      </c>
      <c r="G169" s="10">
        <v>0</v>
      </c>
      <c r="H169" s="10">
        <v>0</v>
      </c>
      <c r="I169" s="10">
        <v>0</v>
      </c>
      <c r="J169" t="s">
        <v>54</v>
      </c>
      <c r="K169" s="10">
        <v>8004</v>
      </c>
    </row>
    <row r="170" spans="1:11">
      <c r="A170" s="10">
        <v>5026</v>
      </c>
      <c r="B170" s="10">
        <v>4</v>
      </c>
      <c r="C170" s="10">
        <v>48</v>
      </c>
      <c r="D170" s="29">
        <v>352.8</v>
      </c>
      <c r="E170" s="29">
        <v>136.62899999999999</v>
      </c>
      <c r="F170" s="30">
        <v>45716</v>
      </c>
      <c r="G170" s="10">
        <v>0</v>
      </c>
      <c r="H170" s="10">
        <v>0</v>
      </c>
      <c r="I170" s="10">
        <v>0</v>
      </c>
      <c r="J170" t="s">
        <v>54</v>
      </c>
      <c r="K170" s="10">
        <v>8016</v>
      </c>
    </row>
    <row r="171" spans="1:11">
      <c r="A171" s="10">
        <v>5002</v>
      </c>
      <c r="B171" s="10">
        <v>4</v>
      </c>
      <c r="C171" s="10">
        <v>70</v>
      </c>
      <c r="D171" s="29">
        <v>1311.8</v>
      </c>
      <c r="E171" s="29">
        <v>518.65899999999999</v>
      </c>
      <c r="F171" s="30">
        <v>45747</v>
      </c>
      <c r="G171" s="10">
        <v>0</v>
      </c>
      <c r="H171" s="10">
        <v>0</v>
      </c>
      <c r="I171" s="10">
        <v>0</v>
      </c>
      <c r="J171" t="s">
        <v>54</v>
      </c>
      <c r="K171" s="10">
        <v>8017</v>
      </c>
    </row>
    <row r="172" spans="1:11">
      <c r="A172" s="10">
        <v>5006</v>
      </c>
      <c r="B172" s="10">
        <v>1</v>
      </c>
      <c r="C172" s="10">
        <v>-127</v>
      </c>
      <c r="D172" s="29">
        <v>-1214.1199999999999</v>
      </c>
      <c r="E172" s="29">
        <v>0</v>
      </c>
      <c r="F172" s="30">
        <v>45443</v>
      </c>
      <c r="G172" s="10">
        <v>1</v>
      </c>
      <c r="H172" s="10">
        <v>1</v>
      </c>
      <c r="I172" s="10">
        <v>0</v>
      </c>
      <c r="J172" t="s">
        <v>2</v>
      </c>
      <c r="K172" s="10">
        <v>8024</v>
      </c>
    </row>
    <row r="173" spans="1:11">
      <c r="A173" s="10">
        <v>5003</v>
      </c>
      <c r="B173" s="10">
        <v>2</v>
      </c>
      <c r="C173" s="10">
        <v>29</v>
      </c>
      <c r="D173" s="29">
        <v>651.34</v>
      </c>
      <c r="E173" s="29">
        <v>214.28399999999999</v>
      </c>
      <c r="F173" s="30">
        <v>45688</v>
      </c>
      <c r="G173" s="10">
        <v>0</v>
      </c>
      <c r="H173" s="10">
        <v>0</v>
      </c>
      <c r="I173" s="10">
        <v>0</v>
      </c>
      <c r="J173" t="s">
        <v>54</v>
      </c>
      <c r="K173" s="10">
        <v>8030</v>
      </c>
    </row>
    <row r="174" spans="1:11">
      <c r="A174" s="10">
        <v>5002</v>
      </c>
      <c r="B174" s="10">
        <v>4</v>
      </c>
      <c r="C174" s="10">
        <v>148</v>
      </c>
      <c r="D174" s="29">
        <v>722.24</v>
      </c>
      <c r="E174" s="29">
        <v>199.798</v>
      </c>
      <c r="F174" s="30">
        <v>45930</v>
      </c>
      <c r="G174" s="10">
        <v>0</v>
      </c>
      <c r="H174" s="10">
        <v>0</v>
      </c>
      <c r="I174" s="10">
        <v>0</v>
      </c>
      <c r="J174" t="s">
        <v>54</v>
      </c>
      <c r="K174" s="10">
        <v>8003</v>
      </c>
    </row>
    <row r="175" spans="1:11">
      <c r="A175" s="10">
        <v>5001</v>
      </c>
      <c r="B175" s="10">
        <v>4</v>
      </c>
      <c r="C175" s="10">
        <v>116</v>
      </c>
      <c r="D175" s="29">
        <v>2081.04</v>
      </c>
      <c r="E175" s="29">
        <v>393.12599999999998</v>
      </c>
      <c r="F175" s="30">
        <v>45322</v>
      </c>
      <c r="G175" s="10">
        <v>0</v>
      </c>
      <c r="H175" s="10">
        <v>0</v>
      </c>
      <c r="I175" s="10">
        <v>0</v>
      </c>
      <c r="J175" t="s">
        <v>54</v>
      </c>
      <c r="K175" s="10">
        <v>8003</v>
      </c>
    </row>
    <row r="176" spans="1:11">
      <c r="A176" s="10">
        <v>5004</v>
      </c>
      <c r="B176" s="10">
        <v>2</v>
      </c>
      <c r="C176" s="10">
        <v>208</v>
      </c>
      <c r="D176" s="29">
        <v>2485.6</v>
      </c>
      <c r="E176" s="29">
        <v>982.65300000000002</v>
      </c>
      <c r="F176" s="30">
        <v>45565</v>
      </c>
      <c r="G176" s="10">
        <v>0</v>
      </c>
      <c r="H176" s="10">
        <v>0</v>
      </c>
      <c r="I176" s="10">
        <v>0</v>
      </c>
      <c r="J176" t="s">
        <v>54</v>
      </c>
      <c r="K176" s="10">
        <v>8001</v>
      </c>
    </row>
    <row r="177" spans="1:11">
      <c r="A177" s="10">
        <v>5001</v>
      </c>
      <c r="B177" s="10">
        <v>1</v>
      </c>
      <c r="C177" s="10">
        <v>63</v>
      </c>
      <c r="D177" s="29">
        <v>713.79</v>
      </c>
      <c r="E177" s="29">
        <v>158.852</v>
      </c>
      <c r="F177" s="30">
        <v>45777</v>
      </c>
      <c r="G177" s="10">
        <v>0</v>
      </c>
      <c r="H177" s="10">
        <v>0</v>
      </c>
      <c r="I177" s="10">
        <v>0</v>
      </c>
      <c r="J177" t="s">
        <v>54</v>
      </c>
      <c r="K177" s="10">
        <v>8007</v>
      </c>
    </row>
    <row r="178" spans="1:11">
      <c r="A178" s="10">
        <v>5011</v>
      </c>
      <c r="B178" s="10">
        <v>6</v>
      </c>
      <c r="C178" s="10">
        <v>34</v>
      </c>
      <c r="D178" s="29">
        <v>458.32</v>
      </c>
      <c r="E178" s="29">
        <v>191.10400000000001</v>
      </c>
      <c r="F178" s="30">
        <v>45626</v>
      </c>
      <c r="G178" s="10">
        <v>0</v>
      </c>
      <c r="H178" s="10">
        <v>0</v>
      </c>
      <c r="I178" s="10">
        <v>0</v>
      </c>
      <c r="J178" t="s">
        <v>54</v>
      </c>
      <c r="K178" s="10">
        <v>8001</v>
      </c>
    </row>
    <row r="179" spans="1:11">
      <c r="A179" s="10">
        <v>5005</v>
      </c>
      <c r="B179" s="10">
        <v>3</v>
      </c>
      <c r="C179" s="10">
        <v>-280</v>
      </c>
      <c r="D179" s="29">
        <v>-2080.4</v>
      </c>
      <c r="E179" s="29">
        <v>-170.011</v>
      </c>
      <c r="F179" s="30">
        <v>45747</v>
      </c>
      <c r="G179" s="10">
        <v>1</v>
      </c>
      <c r="H179" s="10">
        <v>1</v>
      </c>
      <c r="I179" s="10">
        <v>0</v>
      </c>
      <c r="J179" t="s">
        <v>2</v>
      </c>
      <c r="K179" s="10">
        <v>8006</v>
      </c>
    </row>
    <row r="180" spans="1:11">
      <c r="A180" s="10">
        <v>5010</v>
      </c>
      <c r="B180" s="10">
        <v>3</v>
      </c>
      <c r="C180" s="10">
        <v>84</v>
      </c>
      <c r="D180" s="29">
        <v>233.52</v>
      </c>
      <c r="E180" s="29">
        <v>86.756</v>
      </c>
      <c r="F180" s="30">
        <v>45900</v>
      </c>
      <c r="G180" s="10">
        <v>0</v>
      </c>
      <c r="H180" s="10">
        <v>0</v>
      </c>
      <c r="I180" s="10">
        <v>0</v>
      </c>
      <c r="J180" t="s">
        <v>54</v>
      </c>
      <c r="K180" s="10">
        <v>8014</v>
      </c>
    </row>
    <row r="181" spans="1:11">
      <c r="A181" s="10">
        <v>5015</v>
      </c>
      <c r="B181" s="10">
        <v>3</v>
      </c>
      <c r="C181" s="10">
        <v>-145</v>
      </c>
      <c r="D181" s="29">
        <v>-2873.9</v>
      </c>
      <c r="E181" s="29">
        <v>-283.51600000000002</v>
      </c>
      <c r="F181" s="30">
        <v>45473</v>
      </c>
      <c r="G181" s="10">
        <v>1</v>
      </c>
      <c r="H181" s="10">
        <v>1</v>
      </c>
      <c r="I181" s="10">
        <v>0</v>
      </c>
      <c r="J181" t="s">
        <v>2</v>
      </c>
      <c r="K181" s="10">
        <v>8006</v>
      </c>
    </row>
    <row r="182" spans="1:11">
      <c r="A182" s="10">
        <v>5001</v>
      </c>
      <c r="B182" s="10">
        <v>1</v>
      </c>
      <c r="C182" s="10">
        <v>295</v>
      </c>
      <c r="D182" s="29">
        <v>3905.8</v>
      </c>
      <c r="E182" s="29">
        <v>1176.3800000000001</v>
      </c>
      <c r="F182" s="30">
        <v>45565</v>
      </c>
      <c r="G182" s="10">
        <v>0</v>
      </c>
      <c r="H182" s="10">
        <v>0</v>
      </c>
      <c r="I182" s="10">
        <v>0</v>
      </c>
      <c r="J182" t="s">
        <v>54</v>
      </c>
      <c r="K182" s="10">
        <v>8003</v>
      </c>
    </row>
    <row r="183" spans="1:11">
      <c r="A183" s="10">
        <v>5013</v>
      </c>
      <c r="B183" s="10">
        <v>2</v>
      </c>
      <c r="C183" s="10">
        <v>203</v>
      </c>
      <c r="D183" s="29">
        <v>4267.0600000000004</v>
      </c>
      <c r="E183" s="29">
        <v>820.827</v>
      </c>
      <c r="F183" s="30">
        <v>45535</v>
      </c>
      <c r="G183" s="10">
        <v>0</v>
      </c>
      <c r="H183" s="10">
        <v>0</v>
      </c>
      <c r="I183" s="10">
        <v>0</v>
      </c>
      <c r="J183" t="s">
        <v>54</v>
      </c>
      <c r="K183" s="10">
        <v>8002</v>
      </c>
    </row>
    <row r="184" spans="1:11">
      <c r="A184" s="10">
        <v>5019</v>
      </c>
      <c r="B184" s="10">
        <v>5</v>
      </c>
      <c r="C184" s="10">
        <v>96</v>
      </c>
      <c r="D184" s="29">
        <v>2248.3200000000002</v>
      </c>
      <c r="E184" s="29">
        <v>650.56500000000005</v>
      </c>
      <c r="F184" s="30">
        <v>45626</v>
      </c>
      <c r="G184" s="10">
        <v>0</v>
      </c>
      <c r="H184" s="10">
        <v>0</v>
      </c>
      <c r="I184" s="10">
        <v>0</v>
      </c>
      <c r="J184" t="s">
        <v>54</v>
      </c>
      <c r="K184" s="10">
        <v>8013</v>
      </c>
    </row>
    <row r="185" spans="1:11">
      <c r="A185" s="10">
        <v>5008</v>
      </c>
      <c r="B185" s="10">
        <v>3</v>
      </c>
      <c r="C185" s="10">
        <v>50</v>
      </c>
      <c r="D185" s="29">
        <v>758.5</v>
      </c>
      <c r="E185" s="29">
        <v>228.93299999999999</v>
      </c>
      <c r="F185" s="30">
        <v>45991</v>
      </c>
      <c r="G185" s="10">
        <v>0</v>
      </c>
      <c r="H185" s="10">
        <v>0</v>
      </c>
      <c r="I185" s="10">
        <v>0</v>
      </c>
      <c r="J185" t="s">
        <v>54</v>
      </c>
      <c r="K185" s="10">
        <v>8016</v>
      </c>
    </row>
    <row r="186" spans="1:11">
      <c r="A186" s="10">
        <v>5002</v>
      </c>
      <c r="B186" s="10">
        <v>1</v>
      </c>
      <c r="C186" s="10">
        <v>182</v>
      </c>
      <c r="D186" s="29">
        <v>2049.3200000000002</v>
      </c>
      <c r="E186" s="29">
        <v>515.20399999999995</v>
      </c>
      <c r="F186" s="30">
        <v>45596</v>
      </c>
      <c r="G186" s="10">
        <v>0</v>
      </c>
      <c r="H186" s="10">
        <v>0</v>
      </c>
      <c r="I186" s="10">
        <v>0</v>
      </c>
      <c r="J186" t="s">
        <v>54</v>
      </c>
      <c r="K186" s="10">
        <v>8010</v>
      </c>
    </row>
    <row r="187" spans="1:11">
      <c r="A187" s="10">
        <v>5018</v>
      </c>
      <c r="B187" s="10">
        <v>6</v>
      </c>
      <c r="C187" s="10">
        <v>53</v>
      </c>
      <c r="D187" s="29">
        <v>1248.68</v>
      </c>
      <c r="E187" s="29">
        <v>224.15100000000001</v>
      </c>
      <c r="F187" s="30">
        <v>45351</v>
      </c>
      <c r="G187" s="10">
        <v>0</v>
      </c>
      <c r="H187" s="10">
        <v>0</v>
      </c>
      <c r="I187" s="10">
        <v>0</v>
      </c>
      <c r="J187" t="s">
        <v>54</v>
      </c>
      <c r="K187" s="10">
        <v>8004</v>
      </c>
    </row>
    <row r="188" spans="1:11">
      <c r="A188" s="10">
        <v>5005</v>
      </c>
      <c r="B188" s="10">
        <v>3</v>
      </c>
      <c r="C188" s="10">
        <v>257</v>
      </c>
      <c r="D188" s="29">
        <v>1277.29</v>
      </c>
      <c r="E188" s="29">
        <v>463.83699999999999</v>
      </c>
      <c r="F188" s="30">
        <v>45808</v>
      </c>
      <c r="G188" s="10">
        <v>0</v>
      </c>
      <c r="H188" s="10">
        <v>0</v>
      </c>
      <c r="I188" s="10">
        <v>0</v>
      </c>
      <c r="J188" t="s">
        <v>54</v>
      </c>
      <c r="K188" s="10">
        <v>8016</v>
      </c>
    </row>
    <row r="189" spans="1:11">
      <c r="A189" s="10">
        <v>5001</v>
      </c>
      <c r="B189" s="10">
        <v>2</v>
      </c>
      <c r="C189" s="10">
        <v>102</v>
      </c>
      <c r="D189" s="29">
        <v>1467.78</v>
      </c>
      <c r="E189" s="29">
        <v>493.99</v>
      </c>
      <c r="F189" s="30">
        <v>45351</v>
      </c>
      <c r="G189" s="10">
        <v>0</v>
      </c>
      <c r="H189" s="10">
        <v>0</v>
      </c>
      <c r="I189" s="10">
        <v>0</v>
      </c>
      <c r="J189" t="s">
        <v>54</v>
      </c>
      <c r="K189" s="10">
        <v>8015</v>
      </c>
    </row>
    <row r="190" spans="1:11">
      <c r="A190" s="10">
        <v>5005</v>
      </c>
      <c r="B190" s="10">
        <v>2</v>
      </c>
      <c r="C190" s="10">
        <v>147</v>
      </c>
      <c r="D190" s="29">
        <v>1564.08</v>
      </c>
      <c r="E190" s="29">
        <v>351.76</v>
      </c>
      <c r="F190" s="30">
        <v>46022</v>
      </c>
      <c r="G190" s="10">
        <v>0</v>
      </c>
      <c r="H190" s="10">
        <v>0</v>
      </c>
      <c r="I190" s="10">
        <v>0</v>
      </c>
      <c r="J190" t="s">
        <v>54</v>
      </c>
      <c r="K190" s="10">
        <v>8014</v>
      </c>
    </row>
    <row r="191" spans="1:11">
      <c r="A191" s="10">
        <v>5013</v>
      </c>
      <c r="B191" s="10">
        <v>2</v>
      </c>
      <c r="C191" s="10">
        <v>142</v>
      </c>
      <c r="D191" s="29">
        <v>1080.6199999999999</v>
      </c>
      <c r="E191" s="29">
        <v>298.28500000000003</v>
      </c>
      <c r="F191" s="30">
        <v>45412</v>
      </c>
      <c r="G191" s="10">
        <v>0</v>
      </c>
      <c r="H191" s="10">
        <v>0</v>
      </c>
      <c r="I191" s="10">
        <v>0</v>
      </c>
      <c r="J191" t="s">
        <v>54</v>
      </c>
      <c r="K191" s="10">
        <v>8007</v>
      </c>
    </row>
    <row r="192" spans="1:11">
      <c r="A192" s="10">
        <v>5004</v>
      </c>
      <c r="B192" s="10">
        <v>2</v>
      </c>
      <c r="C192" s="10">
        <v>59</v>
      </c>
      <c r="D192" s="29">
        <v>1223.07</v>
      </c>
      <c r="E192" s="29">
        <v>481.47</v>
      </c>
      <c r="F192" s="30">
        <v>46022</v>
      </c>
      <c r="G192" s="10">
        <v>0</v>
      </c>
      <c r="H192" s="10">
        <v>0</v>
      </c>
      <c r="I192" s="10">
        <v>0</v>
      </c>
      <c r="J192" t="s">
        <v>54</v>
      </c>
      <c r="K192" s="10">
        <v>8020</v>
      </c>
    </row>
    <row r="193" spans="1:11">
      <c r="A193" s="10">
        <v>5002</v>
      </c>
      <c r="B193" s="10">
        <v>4</v>
      </c>
      <c r="C193" s="10">
        <v>-83</v>
      </c>
      <c r="D193" s="29">
        <v>-789.33</v>
      </c>
      <c r="E193" s="29">
        <v>0</v>
      </c>
      <c r="F193" s="30">
        <v>45657</v>
      </c>
      <c r="G193" s="10">
        <v>1</v>
      </c>
      <c r="H193" s="10">
        <v>1</v>
      </c>
      <c r="I193" s="10">
        <v>0</v>
      </c>
      <c r="J193" t="s">
        <v>2</v>
      </c>
      <c r="K193" s="10">
        <v>8011</v>
      </c>
    </row>
    <row r="194" spans="1:11">
      <c r="A194" s="10">
        <v>5018</v>
      </c>
      <c r="B194" s="10">
        <v>5</v>
      </c>
      <c r="C194" s="10">
        <v>150</v>
      </c>
      <c r="D194" s="29">
        <v>2913</v>
      </c>
      <c r="E194" s="29">
        <v>557.99699999999996</v>
      </c>
      <c r="F194" s="30">
        <v>45991</v>
      </c>
      <c r="G194" s="10">
        <v>0</v>
      </c>
      <c r="H194" s="10">
        <v>0</v>
      </c>
      <c r="I194" s="10">
        <v>0</v>
      </c>
      <c r="J194" t="s">
        <v>54</v>
      </c>
      <c r="K194" s="10">
        <v>8012</v>
      </c>
    </row>
    <row r="195" spans="1:11">
      <c r="A195" s="10">
        <v>5002</v>
      </c>
      <c r="B195" s="10">
        <v>1</v>
      </c>
      <c r="C195" s="10">
        <v>152</v>
      </c>
      <c r="D195" s="29">
        <v>1518.48</v>
      </c>
      <c r="E195" s="29">
        <v>460.75</v>
      </c>
      <c r="F195" s="30">
        <v>45504</v>
      </c>
      <c r="G195" s="10">
        <v>0</v>
      </c>
      <c r="H195" s="10">
        <v>0</v>
      </c>
      <c r="I195" s="10">
        <v>0</v>
      </c>
      <c r="J195" t="s">
        <v>54</v>
      </c>
      <c r="K195" s="10">
        <v>8015</v>
      </c>
    </row>
    <row r="196" spans="1:11">
      <c r="A196" s="10">
        <v>5002</v>
      </c>
      <c r="B196" s="10">
        <v>6</v>
      </c>
      <c r="C196" s="10">
        <v>120</v>
      </c>
      <c r="D196" s="29">
        <v>1616.4</v>
      </c>
      <c r="E196" s="29">
        <v>604.64400000000001</v>
      </c>
      <c r="F196" s="30">
        <v>45808</v>
      </c>
      <c r="G196" s="10">
        <v>0</v>
      </c>
      <c r="H196" s="10">
        <v>0</v>
      </c>
      <c r="I196" s="10">
        <v>0</v>
      </c>
      <c r="J196" t="s">
        <v>54</v>
      </c>
      <c r="K196" s="10">
        <v>8004</v>
      </c>
    </row>
    <row r="197" spans="1:11">
      <c r="A197" s="10">
        <v>5027</v>
      </c>
      <c r="B197" s="10">
        <v>2</v>
      </c>
      <c r="C197" s="10">
        <v>172</v>
      </c>
      <c r="D197" s="29">
        <v>1625.4</v>
      </c>
      <c r="E197" s="29">
        <v>589.80600000000004</v>
      </c>
      <c r="F197" s="30">
        <v>45382</v>
      </c>
      <c r="G197" s="10">
        <v>0</v>
      </c>
      <c r="H197" s="10">
        <v>0</v>
      </c>
      <c r="I197" s="10">
        <v>0</v>
      </c>
      <c r="J197" t="s">
        <v>54</v>
      </c>
      <c r="K197" s="10">
        <v>8010</v>
      </c>
    </row>
    <row r="198" spans="1:11">
      <c r="A198" s="10">
        <v>5003</v>
      </c>
      <c r="B198" s="10">
        <v>2</v>
      </c>
      <c r="C198" s="10">
        <v>257</v>
      </c>
      <c r="D198" s="29">
        <v>778.71</v>
      </c>
      <c r="E198" s="29">
        <v>155.57400000000001</v>
      </c>
      <c r="F198" s="30">
        <v>45808</v>
      </c>
      <c r="G198" s="10">
        <v>0</v>
      </c>
      <c r="H198" s="10">
        <v>0</v>
      </c>
      <c r="I198" s="10">
        <v>0</v>
      </c>
      <c r="J198" t="s">
        <v>54</v>
      </c>
      <c r="K198" s="10">
        <v>8026</v>
      </c>
    </row>
    <row r="199" spans="1:11">
      <c r="A199" s="10">
        <v>5005</v>
      </c>
      <c r="B199" s="10">
        <v>2</v>
      </c>
      <c r="C199" s="10">
        <v>275</v>
      </c>
      <c r="D199" s="29">
        <v>5959.25</v>
      </c>
      <c r="E199" s="29">
        <v>1341.769</v>
      </c>
      <c r="F199" s="30">
        <v>45473</v>
      </c>
      <c r="G199" s="10">
        <v>0</v>
      </c>
      <c r="H199" s="10">
        <v>0</v>
      </c>
      <c r="I199" s="10">
        <v>0</v>
      </c>
      <c r="J199" t="s">
        <v>54</v>
      </c>
      <c r="K199" s="10">
        <v>8012</v>
      </c>
    </row>
    <row r="200" spans="1:11">
      <c r="A200" s="10">
        <v>5009</v>
      </c>
      <c r="B200" s="10">
        <v>1</v>
      </c>
      <c r="C200" s="10">
        <v>147</v>
      </c>
      <c r="D200" s="29">
        <v>1905.12</v>
      </c>
      <c r="E200" s="29">
        <v>771.22699999999998</v>
      </c>
      <c r="F200" s="30">
        <v>45808</v>
      </c>
      <c r="G200" s="10">
        <v>0</v>
      </c>
      <c r="H200" s="10">
        <v>0</v>
      </c>
      <c r="I200" s="10">
        <v>0</v>
      </c>
      <c r="J200" t="s">
        <v>54</v>
      </c>
      <c r="K200" s="10">
        <v>8002</v>
      </c>
    </row>
    <row r="201" spans="1:11">
      <c r="A201" s="10">
        <v>5011</v>
      </c>
      <c r="B201" s="10">
        <v>3</v>
      </c>
      <c r="C201" s="10">
        <v>205</v>
      </c>
      <c r="D201" s="29">
        <v>2933.55</v>
      </c>
      <c r="E201" s="29">
        <v>491.00900000000001</v>
      </c>
      <c r="F201" s="30">
        <v>45473</v>
      </c>
      <c r="G201" s="10">
        <v>0</v>
      </c>
      <c r="H201" s="10">
        <v>0</v>
      </c>
      <c r="I201" s="10">
        <v>0</v>
      </c>
      <c r="J201" t="s">
        <v>54</v>
      </c>
      <c r="K201" s="10">
        <v>8012</v>
      </c>
    </row>
    <row r="202" spans="1:11">
      <c r="A202" s="10">
        <v>5011</v>
      </c>
      <c r="B202" s="10">
        <v>3</v>
      </c>
      <c r="C202" s="10">
        <v>181</v>
      </c>
      <c r="D202" s="29">
        <v>2000.05</v>
      </c>
      <c r="E202" s="29">
        <v>578.99400000000003</v>
      </c>
      <c r="F202" s="30">
        <v>45351</v>
      </c>
      <c r="G202" s="10">
        <v>0</v>
      </c>
      <c r="H202" s="10">
        <v>0</v>
      </c>
      <c r="I202" s="10">
        <v>0</v>
      </c>
      <c r="J202" t="s">
        <v>54</v>
      </c>
      <c r="K202" s="10">
        <v>8008</v>
      </c>
    </row>
    <row r="203" spans="1:11">
      <c r="A203" s="10">
        <v>5004</v>
      </c>
      <c r="B203" s="10">
        <v>2</v>
      </c>
      <c r="C203" s="10">
        <v>212</v>
      </c>
      <c r="D203" s="29">
        <v>3606.12</v>
      </c>
      <c r="E203" s="29">
        <v>645.39800000000002</v>
      </c>
      <c r="F203" s="30">
        <v>45808</v>
      </c>
      <c r="G203" s="10">
        <v>0</v>
      </c>
      <c r="H203" s="10">
        <v>0</v>
      </c>
      <c r="I203" s="10">
        <v>0</v>
      </c>
      <c r="J203" t="s">
        <v>54</v>
      </c>
      <c r="K203" s="10">
        <v>8025</v>
      </c>
    </row>
    <row r="204" spans="1:11">
      <c r="A204" s="10">
        <v>5006</v>
      </c>
      <c r="B204" s="10">
        <v>1</v>
      </c>
      <c r="C204" s="10">
        <v>167</v>
      </c>
      <c r="D204" s="29">
        <v>1459.58</v>
      </c>
      <c r="E204" s="29">
        <v>512.15499999999997</v>
      </c>
      <c r="F204" s="30">
        <v>45382</v>
      </c>
      <c r="G204" s="10">
        <v>0</v>
      </c>
      <c r="H204" s="10">
        <v>0</v>
      </c>
      <c r="I204" s="10">
        <v>0</v>
      </c>
      <c r="J204" t="s">
        <v>54</v>
      </c>
      <c r="K204" s="10">
        <v>8007</v>
      </c>
    </row>
    <row r="205" spans="1:11">
      <c r="A205" s="10">
        <v>5027</v>
      </c>
      <c r="B205" s="10">
        <v>2</v>
      </c>
      <c r="C205" s="10">
        <v>177</v>
      </c>
      <c r="D205" s="29">
        <v>1571.76</v>
      </c>
      <c r="E205" s="29">
        <v>360.786</v>
      </c>
      <c r="F205" s="30">
        <v>45991</v>
      </c>
      <c r="G205" s="10">
        <v>0</v>
      </c>
      <c r="H205" s="10">
        <v>0</v>
      </c>
      <c r="I205" s="10">
        <v>0</v>
      </c>
      <c r="J205" t="s">
        <v>54</v>
      </c>
      <c r="K205" s="10">
        <v>8002</v>
      </c>
    </row>
    <row r="206" spans="1:11">
      <c r="A206" s="10">
        <v>5002</v>
      </c>
      <c r="B206" s="10">
        <v>2</v>
      </c>
      <c r="C206" s="10">
        <v>155</v>
      </c>
      <c r="D206" s="29">
        <v>1133.05</v>
      </c>
      <c r="E206" s="29">
        <v>228.334</v>
      </c>
      <c r="F206" s="30">
        <v>45535</v>
      </c>
      <c r="G206" s="10">
        <v>0</v>
      </c>
      <c r="H206" s="10">
        <v>0</v>
      </c>
      <c r="I206" s="10">
        <v>0</v>
      </c>
      <c r="J206" t="s">
        <v>54</v>
      </c>
      <c r="K206" s="10">
        <v>8003</v>
      </c>
    </row>
    <row r="207" spans="1:11">
      <c r="A207" s="10">
        <v>5009</v>
      </c>
      <c r="B207" s="10">
        <v>4</v>
      </c>
      <c r="C207" s="10">
        <v>117</v>
      </c>
      <c r="D207" s="29">
        <v>1547.91</v>
      </c>
      <c r="E207" s="29">
        <v>371.84</v>
      </c>
      <c r="F207" s="30">
        <v>45596</v>
      </c>
      <c r="G207" s="10">
        <v>0</v>
      </c>
      <c r="H207" s="10">
        <v>0</v>
      </c>
      <c r="I207" s="10">
        <v>0</v>
      </c>
      <c r="J207" t="s">
        <v>54</v>
      </c>
      <c r="K207" s="10">
        <v>8004</v>
      </c>
    </row>
    <row r="208" spans="1:11">
      <c r="A208" s="10">
        <v>5024</v>
      </c>
      <c r="B208" s="10">
        <v>6</v>
      </c>
      <c r="C208" s="10">
        <v>-46</v>
      </c>
      <c r="D208" s="29">
        <v>-442.98</v>
      </c>
      <c r="E208" s="29">
        <v>0</v>
      </c>
      <c r="F208" s="30">
        <v>45322</v>
      </c>
      <c r="G208" s="10">
        <v>1</v>
      </c>
      <c r="H208" s="10">
        <v>1</v>
      </c>
      <c r="I208" s="10">
        <v>0</v>
      </c>
      <c r="J208" t="s">
        <v>2</v>
      </c>
      <c r="K208" s="10">
        <v>8007</v>
      </c>
    </row>
    <row r="209" spans="1:11">
      <c r="A209" s="10">
        <v>5011</v>
      </c>
      <c r="B209" s="10">
        <v>2</v>
      </c>
      <c r="C209" s="10">
        <v>285</v>
      </c>
      <c r="D209" s="29">
        <v>3240.45</v>
      </c>
      <c r="E209" s="29">
        <v>1131.4100000000001</v>
      </c>
      <c r="F209" s="30">
        <v>45991</v>
      </c>
      <c r="G209" s="10">
        <v>0</v>
      </c>
      <c r="H209" s="10">
        <v>0</v>
      </c>
      <c r="I209" s="10">
        <v>0</v>
      </c>
      <c r="J209" t="s">
        <v>54</v>
      </c>
      <c r="K209" s="10">
        <v>8006</v>
      </c>
    </row>
    <row r="210" spans="1:11">
      <c r="A210" s="10">
        <v>5005</v>
      </c>
      <c r="B210" s="10">
        <v>2</v>
      </c>
      <c r="C210" s="10">
        <v>-67</v>
      </c>
      <c r="D210" s="29">
        <v>-943.36</v>
      </c>
      <c r="E210" s="29">
        <v>0</v>
      </c>
      <c r="F210" s="30">
        <v>45930</v>
      </c>
      <c r="G210" s="10">
        <v>1</v>
      </c>
      <c r="H210" s="10">
        <v>1</v>
      </c>
      <c r="I210" s="10">
        <v>0</v>
      </c>
      <c r="J210" t="s">
        <v>2</v>
      </c>
      <c r="K210" s="10">
        <v>8005</v>
      </c>
    </row>
    <row r="211" spans="1:11">
      <c r="A211" s="10">
        <v>5004</v>
      </c>
      <c r="B211" s="10">
        <v>3</v>
      </c>
      <c r="C211" s="10">
        <v>48</v>
      </c>
      <c r="D211" s="29">
        <v>1125.5999999999999</v>
      </c>
      <c r="E211" s="29">
        <v>412.72699999999998</v>
      </c>
      <c r="F211" s="30">
        <v>45930</v>
      </c>
      <c r="G211" s="10">
        <v>0</v>
      </c>
      <c r="H211" s="10">
        <v>0</v>
      </c>
      <c r="I211" s="10">
        <v>0</v>
      </c>
      <c r="J211" t="s">
        <v>54</v>
      </c>
      <c r="K211" s="10">
        <v>8029</v>
      </c>
    </row>
    <row r="212" spans="1:11">
      <c r="A212" s="10">
        <v>5023</v>
      </c>
      <c r="B212" s="10">
        <v>1</v>
      </c>
      <c r="C212" s="10">
        <v>-155</v>
      </c>
      <c r="D212" s="29">
        <v>-1999.5</v>
      </c>
      <c r="E212" s="29">
        <v>0</v>
      </c>
      <c r="F212" s="30">
        <v>45596</v>
      </c>
      <c r="G212" s="10">
        <v>1</v>
      </c>
      <c r="H212" s="10">
        <v>1</v>
      </c>
      <c r="I212" s="10">
        <v>0</v>
      </c>
      <c r="J212" t="s">
        <v>2</v>
      </c>
      <c r="K212" s="10">
        <v>8014</v>
      </c>
    </row>
    <row r="213" spans="1:11">
      <c r="A213" s="10">
        <v>5007</v>
      </c>
      <c r="B213" s="10">
        <v>3</v>
      </c>
      <c r="C213" s="10">
        <v>131</v>
      </c>
      <c r="D213" s="29">
        <v>1189.48</v>
      </c>
      <c r="E213" s="29">
        <v>240.57300000000001</v>
      </c>
      <c r="F213" s="30">
        <v>45596</v>
      </c>
      <c r="G213" s="10">
        <v>0</v>
      </c>
      <c r="H213" s="10">
        <v>0</v>
      </c>
      <c r="I213" s="10">
        <v>0</v>
      </c>
      <c r="J213" t="s">
        <v>54</v>
      </c>
      <c r="K213" s="10">
        <v>8006</v>
      </c>
    </row>
    <row r="214" spans="1:11">
      <c r="A214" s="10">
        <v>5013</v>
      </c>
      <c r="B214" s="10">
        <v>1</v>
      </c>
      <c r="C214" s="10">
        <v>264</v>
      </c>
      <c r="D214" s="29">
        <v>3595.68</v>
      </c>
      <c r="E214" s="29">
        <v>855.57600000000002</v>
      </c>
      <c r="F214" s="30">
        <v>46022</v>
      </c>
      <c r="G214" s="10">
        <v>0</v>
      </c>
      <c r="H214" s="10">
        <v>0</v>
      </c>
      <c r="I214" s="10">
        <v>0</v>
      </c>
      <c r="J214" t="s">
        <v>54</v>
      </c>
      <c r="K214" s="10">
        <v>8004</v>
      </c>
    </row>
    <row r="215" spans="1:11">
      <c r="A215" s="10">
        <v>5005</v>
      </c>
      <c r="B215" s="10">
        <v>6</v>
      </c>
      <c r="C215" s="10">
        <v>106</v>
      </c>
      <c r="D215" s="29">
        <v>2065.94</v>
      </c>
      <c r="E215" s="29">
        <v>700.12900000000002</v>
      </c>
      <c r="F215" s="30">
        <v>45961</v>
      </c>
      <c r="G215" s="10">
        <v>0</v>
      </c>
      <c r="H215" s="10">
        <v>0</v>
      </c>
      <c r="I215" s="10">
        <v>0</v>
      </c>
      <c r="J215" t="s">
        <v>54</v>
      </c>
      <c r="K215" s="10">
        <v>8010</v>
      </c>
    </row>
    <row r="216" spans="1:11">
      <c r="A216" s="10">
        <v>5007</v>
      </c>
      <c r="B216" s="10">
        <v>4</v>
      </c>
      <c r="C216" s="10">
        <v>169</v>
      </c>
      <c r="D216" s="29">
        <v>2470.7800000000002</v>
      </c>
      <c r="E216" s="29">
        <v>770.18200000000002</v>
      </c>
      <c r="F216" s="30">
        <v>45351</v>
      </c>
      <c r="G216" s="10">
        <v>0</v>
      </c>
      <c r="H216" s="10">
        <v>0</v>
      </c>
      <c r="I216" s="10">
        <v>0</v>
      </c>
      <c r="J216" t="s">
        <v>54</v>
      </c>
      <c r="K216" s="10">
        <v>8026</v>
      </c>
    </row>
    <row r="217" spans="1:11">
      <c r="A217" s="10">
        <v>5010</v>
      </c>
      <c r="B217" s="10">
        <v>4</v>
      </c>
      <c r="C217" s="10">
        <v>-49</v>
      </c>
      <c r="D217" s="29">
        <v>-828.59</v>
      </c>
      <c r="E217" s="29">
        <v>-38.515999999999998</v>
      </c>
      <c r="F217" s="30">
        <v>45473</v>
      </c>
      <c r="G217" s="10">
        <v>1</v>
      </c>
      <c r="H217" s="10">
        <v>1</v>
      </c>
      <c r="I217" s="10">
        <v>0</v>
      </c>
      <c r="J217" t="s">
        <v>2</v>
      </c>
      <c r="K217" s="10">
        <v>8009</v>
      </c>
    </row>
    <row r="218" spans="1:11">
      <c r="A218" s="10">
        <v>5004</v>
      </c>
      <c r="B218" s="10">
        <v>3</v>
      </c>
      <c r="C218" s="10">
        <v>98</v>
      </c>
      <c r="D218" s="29">
        <v>1862</v>
      </c>
      <c r="E218" s="29">
        <v>720.46900000000005</v>
      </c>
      <c r="F218" s="30">
        <v>45322</v>
      </c>
      <c r="G218" s="10">
        <v>0</v>
      </c>
      <c r="H218" s="10">
        <v>0</v>
      </c>
      <c r="I218" s="10">
        <v>0</v>
      </c>
      <c r="J218" t="s">
        <v>54</v>
      </c>
      <c r="K218" s="10">
        <v>8002</v>
      </c>
    </row>
    <row r="219" spans="1:11">
      <c r="A219" s="10">
        <v>5001</v>
      </c>
      <c r="B219" s="10">
        <v>1</v>
      </c>
      <c r="C219" s="10">
        <v>99</v>
      </c>
      <c r="D219" s="29">
        <v>1633.5</v>
      </c>
      <c r="E219" s="29">
        <v>394.61399999999998</v>
      </c>
      <c r="F219" s="30">
        <v>45900</v>
      </c>
      <c r="G219" s="10">
        <v>0</v>
      </c>
      <c r="H219" s="10">
        <v>0</v>
      </c>
      <c r="I219" s="10">
        <v>0</v>
      </c>
      <c r="J219" t="s">
        <v>54</v>
      </c>
      <c r="K219" s="10">
        <v>8002</v>
      </c>
    </row>
    <row r="220" spans="1:11">
      <c r="A220" s="10">
        <v>5020</v>
      </c>
      <c r="B220" s="10">
        <v>2</v>
      </c>
      <c r="C220" s="10">
        <v>200</v>
      </c>
      <c r="D220" s="29">
        <v>3560</v>
      </c>
      <c r="E220" s="29">
        <v>1211.3309999999999</v>
      </c>
      <c r="F220" s="30">
        <v>45473</v>
      </c>
      <c r="G220" s="10">
        <v>0</v>
      </c>
      <c r="H220" s="10">
        <v>0</v>
      </c>
      <c r="I220" s="10">
        <v>0</v>
      </c>
      <c r="J220" t="s">
        <v>54</v>
      </c>
      <c r="K220" s="10">
        <v>8004</v>
      </c>
    </row>
    <row r="221" spans="1:11">
      <c r="A221" s="10">
        <v>5003</v>
      </c>
      <c r="B221" s="10">
        <v>2</v>
      </c>
      <c r="C221" s="10">
        <v>72</v>
      </c>
      <c r="D221" s="29">
        <v>1684.8</v>
      </c>
      <c r="E221" s="29">
        <v>396.166</v>
      </c>
      <c r="F221" s="30">
        <v>45808</v>
      </c>
      <c r="G221" s="10">
        <v>0</v>
      </c>
      <c r="H221" s="10">
        <v>0</v>
      </c>
      <c r="I221" s="10">
        <v>0</v>
      </c>
      <c r="J221" t="s">
        <v>54</v>
      </c>
      <c r="K221" s="10">
        <v>8003</v>
      </c>
    </row>
    <row r="222" spans="1:11">
      <c r="A222" s="10">
        <v>5012</v>
      </c>
      <c r="B222" s="10">
        <v>2</v>
      </c>
      <c r="C222" s="10">
        <v>270</v>
      </c>
      <c r="D222" s="29">
        <v>5254.2</v>
      </c>
      <c r="E222" s="29">
        <v>1007.163</v>
      </c>
      <c r="F222" s="30">
        <v>45504</v>
      </c>
      <c r="G222" s="10">
        <v>0</v>
      </c>
      <c r="H222" s="10">
        <v>0</v>
      </c>
      <c r="I222" s="10">
        <v>0</v>
      </c>
      <c r="J222" t="s">
        <v>54</v>
      </c>
      <c r="K222" s="10">
        <v>8004</v>
      </c>
    </row>
    <row r="223" spans="1:11">
      <c r="A223" s="10">
        <v>5005</v>
      </c>
      <c r="B223" s="10">
        <v>4</v>
      </c>
      <c r="C223" s="10">
        <v>238</v>
      </c>
      <c r="D223" s="29">
        <v>4679.08</v>
      </c>
      <c r="E223" s="29">
        <v>1098.5730000000001</v>
      </c>
      <c r="F223" s="30">
        <v>45838</v>
      </c>
      <c r="G223" s="10">
        <v>0</v>
      </c>
      <c r="H223" s="10">
        <v>0</v>
      </c>
      <c r="I223" s="10">
        <v>0</v>
      </c>
      <c r="J223" t="s">
        <v>54</v>
      </c>
      <c r="K223" s="10">
        <v>8028</v>
      </c>
    </row>
    <row r="224" spans="1:11">
      <c r="A224" s="10">
        <v>5005</v>
      </c>
      <c r="B224" s="10">
        <v>1</v>
      </c>
      <c r="C224" s="10">
        <v>134</v>
      </c>
      <c r="D224" s="29">
        <v>842.86</v>
      </c>
      <c r="E224" s="29">
        <v>339.32400000000001</v>
      </c>
      <c r="F224" s="30">
        <v>45869</v>
      </c>
      <c r="G224" s="10">
        <v>0</v>
      </c>
      <c r="H224" s="10">
        <v>0</v>
      </c>
      <c r="I224" s="10">
        <v>0</v>
      </c>
      <c r="J224" t="s">
        <v>54</v>
      </c>
      <c r="K224" s="10">
        <v>8006</v>
      </c>
    </row>
    <row r="225" spans="1:11">
      <c r="A225" s="10">
        <v>5002</v>
      </c>
      <c r="B225" s="10">
        <v>3</v>
      </c>
      <c r="C225" s="10">
        <v>69</v>
      </c>
      <c r="D225" s="29">
        <v>1150.23</v>
      </c>
      <c r="E225" s="29">
        <v>374.82</v>
      </c>
      <c r="F225" s="30">
        <v>45869</v>
      </c>
      <c r="G225" s="10">
        <v>0</v>
      </c>
      <c r="H225" s="10">
        <v>0</v>
      </c>
      <c r="I225" s="10">
        <v>0</v>
      </c>
      <c r="J225" t="s">
        <v>54</v>
      </c>
      <c r="K225" s="10">
        <v>8009</v>
      </c>
    </row>
    <row r="226" spans="1:11">
      <c r="A226" s="10">
        <v>5006</v>
      </c>
      <c r="B226" s="10">
        <v>1</v>
      </c>
      <c r="C226" s="10">
        <v>218</v>
      </c>
      <c r="D226" s="29">
        <v>418.56</v>
      </c>
      <c r="E226" s="29">
        <v>168.07900000000001</v>
      </c>
      <c r="F226" s="30">
        <v>45382</v>
      </c>
      <c r="G226" s="10">
        <v>0</v>
      </c>
      <c r="H226" s="10">
        <v>0</v>
      </c>
      <c r="I226" s="10">
        <v>0</v>
      </c>
      <c r="J226" t="s">
        <v>54</v>
      </c>
      <c r="K226" s="10">
        <v>8012</v>
      </c>
    </row>
    <row r="227" spans="1:11">
      <c r="A227" s="10">
        <v>5022</v>
      </c>
      <c r="B227" s="10">
        <v>2</v>
      </c>
      <c r="C227" s="10">
        <v>85</v>
      </c>
      <c r="D227" s="29">
        <v>1972</v>
      </c>
      <c r="E227" s="29">
        <v>646.68499999999995</v>
      </c>
      <c r="F227" s="30">
        <v>45626</v>
      </c>
      <c r="G227" s="10">
        <v>0</v>
      </c>
      <c r="H227" s="10">
        <v>0</v>
      </c>
      <c r="I227" s="10">
        <v>0</v>
      </c>
      <c r="J227" t="s">
        <v>54</v>
      </c>
      <c r="K227" s="10">
        <v>8019</v>
      </c>
    </row>
    <row r="228" spans="1:11">
      <c r="A228" s="10">
        <v>5002</v>
      </c>
      <c r="B228" s="10">
        <v>2</v>
      </c>
      <c r="C228" s="10">
        <v>231</v>
      </c>
      <c r="D228" s="29">
        <v>5218.29</v>
      </c>
      <c r="E228" s="29">
        <v>1072.4459999999999</v>
      </c>
      <c r="F228" s="30">
        <v>45991</v>
      </c>
      <c r="G228" s="10">
        <v>0</v>
      </c>
      <c r="H228" s="10">
        <v>0</v>
      </c>
      <c r="I228" s="10">
        <v>0</v>
      </c>
      <c r="J228" t="s">
        <v>54</v>
      </c>
      <c r="K228" s="10">
        <v>8008</v>
      </c>
    </row>
    <row r="229" spans="1:11">
      <c r="A229" s="10">
        <v>5003</v>
      </c>
      <c r="B229" s="10">
        <v>6</v>
      </c>
      <c r="C229" s="10">
        <v>86</v>
      </c>
      <c r="D229" s="29">
        <v>1100.8</v>
      </c>
      <c r="E229" s="29">
        <v>451.49799999999999</v>
      </c>
      <c r="F229" s="30">
        <v>45991</v>
      </c>
      <c r="G229" s="10">
        <v>0</v>
      </c>
      <c r="H229" s="10">
        <v>0</v>
      </c>
      <c r="I229" s="10">
        <v>0</v>
      </c>
      <c r="J229" t="s">
        <v>54</v>
      </c>
      <c r="K229" s="10">
        <v>8021</v>
      </c>
    </row>
    <row r="230" spans="1:11">
      <c r="A230" s="10">
        <v>5019</v>
      </c>
      <c r="B230" s="10">
        <v>2</v>
      </c>
      <c r="C230" s="10">
        <v>63</v>
      </c>
      <c r="D230" s="29">
        <v>1488.06</v>
      </c>
      <c r="E230" s="29">
        <v>620.76800000000003</v>
      </c>
      <c r="F230" s="30">
        <v>45991</v>
      </c>
      <c r="G230" s="10">
        <v>0</v>
      </c>
      <c r="H230" s="10">
        <v>0</v>
      </c>
      <c r="I230" s="10">
        <v>0</v>
      </c>
      <c r="J230" t="s">
        <v>54</v>
      </c>
      <c r="K230" s="10">
        <v>8001</v>
      </c>
    </row>
    <row r="231" spans="1:11">
      <c r="A231" s="10">
        <v>5008</v>
      </c>
      <c r="B231" s="10">
        <v>4</v>
      </c>
      <c r="C231" s="10">
        <v>101</v>
      </c>
      <c r="D231" s="29">
        <v>614.08000000000004</v>
      </c>
      <c r="E231" s="29">
        <v>124.197</v>
      </c>
      <c r="F231" s="30">
        <v>45747</v>
      </c>
      <c r="G231" s="10">
        <v>0</v>
      </c>
      <c r="H231" s="10">
        <v>0</v>
      </c>
      <c r="I231" s="10">
        <v>0</v>
      </c>
      <c r="J231" t="s">
        <v>54</v>
      </c>
      <c r="K231" s="10">
        <v>8023</v>
      </c>
    </row>
    <row r="232" spans="1:11">
      <c r="A232" s="10">
        <v>5004</v>
      </c>
      <c r="B232" s="10">
        <v>3</v>
      </c>
      <c r="C232" s="10">
        <v>207</v>
      </c>
      <c r="D232" s="29">
        <v>2980.8</v>
      </c>
      <c r="E232" s="29">
        <v>612.93799999999999</v>
      </c>
      <c r="F232" s="30">
        <v>45657</v>
      </c>
      <c r="G232" s="10">
        <v>0</v>
      </c>
      <c r="H232" s="10">
        <v>0</v>
      </c>
      <c r="I232" s="10">
        <v>0</v>
      </c>
      <c r="J232" t="s">
        <v>54</v>
      </c>
      <c r="K232" s="10">
        <v>8002</v>
      </c>
    </row>
    <row r="233" spans="1:11">
      <c r="A233" s="10">
        <v>5020</v>
      </c>
      <c r="B233" s="10">
        <v>2</v>
      </c>
      <c r="C233" s="10">
        <v>58</v>
      </c>
      <c r="D233" s="29">
        <v>966.28</v>
      </c>
      <c r="E233" s="29">
        <v>189.93100000000001</v>
      </c>
      <c r="F233" s="30">
        <v>45991</v>
      </c>
      <c r="G233" s="10">
        <v>0</v>
      </c>
      <c r="H233" s="10">
        <v>0</v>
      </c>
      <c r="I233" s="10">
        <v>0</v>
      </c>
      <c r="J233" t="s">
        <v>54</v>
      </c>
      <c r="K233" s="10">
        <v>8017</v>
      </c>
    </row>
    <row r="234" spans="1:11">
      <c r="A234" s="10">
        <v>5004</v>
      </c>
      <c r="B234" s="10">
        <v>1</v>
      </c>
      <c r="C234" s="10">
        <v>233</v>
      </c>
      <c r="D234" s="29">
        <v>5354.34</v>
      </c>
      <c r="E234" s="29">
        <v>1863.04</v>
      </c>
      <c r="F234" s="30">
        <v>45596</v>
      </c>
      <c r="G234" s="10">
        <v>0</v>
      </c>
      <c r="H234" s="10">
        <v>0</v>
      </c>
      <c r="I234" s="10">
        <v>0</v>
      </c>
      <c r="J234" t="s">
        <v>54</v>
      </c>
      <c r="K234" s="10">
        <v>8003</v>
      </c>
    </row>
    <row r="235" spans="1:11">
      <c r="A235" s="10">
        <v>5011</v>
      </c>
      <c r="B235" s="10">
        <v>1</v>
      </c>
      <c r="C235" s="10">
        <v>58</v>
      </c>
      <c r="D235" s="29">
        <v>499.38</v>
      </c>
      <c r="E235" s="29">
        <v>145.14699999999999</v>
      </c>
      <c r="F235" s="30">
        <v>45322</v>
      </c>
      <c r="G235" s="10">
        <v>0</v>
      </c>
      <c r="H235" s="10">
        <v>0</v>
      </c>
      <c r="I235" s="10">
        <v>0</v>
      </c>
      <c r="J235" t="s">
        <v>54</v>
      </c>
      <c r="K235" s="10">
        <v>8011</v>
      </c>
    </row>
    <row r="236" spans="1:11">
      <c r="A236" s="10">
        <v>5012</v>
      </c>
      <c r="B236" s="10">
        <v>1</v>
      </c>
      <c r="C236" s="10">
        <v>354</v>
      </c>
      <c r="D236" s="29">
        <v>2955.9</v>
      </c>
      <c r="E236" s="29">
        <v>641.35199999999998</v>
      </c>
      <c r="F236" s="30">
        <v>45991</v>
      </c>
      <c r="G236" s="10">
        <v>0</v>
      </c>
      <c r="H236" s="10">
        <v>0</v>
      </c>
      <c r="I236" s="10">
        <v>0</v>
      </c>
      <c r="J236" t="s">
        <v>54</v>
      </c>
      <c r="K236" s="10">
        <v>8004</v>
      </c>
    </row>
    <row r="237" spans="1:11">
      <c r="A237" s="10">
        <v>5002</v>
      </c>
      <c r="B237" s="10">
        <v>3</v>
      </c>
      <c r="C237" s="10">
        <v>99</v>
      </c>
      <c r="D237" s="29">
        <v>1385.01</v>
      </c>
      <c r="E237" s="29">
        <v>415.16300000000001</v>
      </c>
      <c r="F237" s="30">
        <v>45443</v>
      </c>
      <c r="G237" s="10">
        <v>0</v>
      </c>
      <c r="H237" s="10">
        <v>0</v>
      </c>
      <c r="I237" s="10">
        <v>0</v>
      </c>
      <c r="J237" t="s">
        <v>54</v>
      </c>
      <c r="K237" s="10">
        <v>8013</v>
      </c>
    </row>
    <row r="238" spans="1:11">
      <c r="A238" s="10">
        <v>5003</v>
      </c>
      <c r="B238" s="10">
        <v>4</v>
      </c>
      <c r="C238" s="10">
        <v>200</v>
      </c>
      <c r="D238" s="29">
        <v>724</v>
      </c>
      <c r="E238" s="29">
        <v>248.31700000000001</v>
      </c>
      <c r="F238" s="30">
        <v>45838</v>
      </c>
      <c r="G238" s="10">
        <v>0</v>
      </c>
      <c r="H238" s="10">
        <v>0</v>
      </c>
      <c r="I238" s="10">
        <v>0</v>
      </c>
      <c r="J238" t="s">
        <v>54</v>
      </c>
      <c r="K238" s="10">
        <v>8003</v>
      </c>
    </row>
    <row r="239" spans="1:11">
      <c r="A239" s="10">
        <v>5009</v>
      </c>
      <c r="B239" s="10">
        <v>2</v>
      </c>
      <c r="C239" s="10">
        <v>129</v>
      </c>
      <c r="D239" s="29">
        <v>1871.79</v>
      </c>
      <c r="E239" s="29">
        <v>459.17</v>
      </c>
      <c r="F239" s="30">
        <v>45382</v>
      </c>
      <c r="G239" s="10">
        <v>0</v>
      </c>
      <c r="H239" s="10">
        <v>0</v>
      </c>
      <c r="I239" s="10">
        <v>0</v>
      </c>
      <c r="J239" t="s">
        <v>54</v>
      </c>
      <c r="K239" s="10">
        <v>8001</v>
      </c>
    </row>
    <row r="240" spans="1:11">
      <c r="A240" s="10">
        <v>5002</v>
      </c>
      <c r="B240" s="10">
        <v>3</v>
      </c>
      <c r="C240" s="10">
        <v>43</v>
      </c>
      <c r="D240" s="29">
        <v>564.59</v>
      </c>
      <c r="E240" s="29">
        <v>156.89500000000001</v>
      </c>
      <c r="F240" s="30">
        <v>45716</v>
      </c>
      <c r="G240" s="10">
        <v>0</v>
      </c>
      <c r="H240" s="10">
        <v>0</v>
      </c>
      <c r="I240" s="10">
        <v>0</v>
      </c>
      <c r="J240" t="s">
        <v>54</v>
      </c>
      <c r="K240" s="10">
        <v>8003</v>
      </c>
    </row>
    <row r="241" spans="1:11">
      <c r="A241" s="10">
        <v>5007</v>
      </c>
      <c r="B241" s="10">
        <v>2</v>
      </c>
      <c r="C241" s="10">
        <v>212</v>
      </c>
      <c r="D241" s="29">
        <v>3786.32</v>
      </c>
      <c r="E241" s="29">
        <v>1409.5630000000001</v>
      </c>
      <c r="F241" s="30">
        <v>45716</v>
      </c>
      <c r="G241" s="10">
        <v>0</v>
      </c>
      <c r="H241" s="10">
        <v>0</v>
      </c>
      <c r="I241" s="10">
        <v>0</v>
      </c>
      <c r="J241" t="s">
        <v>54</v>
      </c>
      <c r="K241" s="10">
        <v>8001</v>
      </c>
    </row>
    <row r="242" spans="1:11">
      <c r="A242" s="10">
        <v>5009</v>
      </c>
      <c r="B242" s="10">
        <v>2</v>
      </c>
      <c r="C242" s="10">
        <v>40</v>
      </c>
      <c r="D242" s="29">
        <v>954.8</v>
      </c>
      <c r="E242" s="29">
        <v>169.90199999999999</v>
      </c>
      <c r="F242" s="30">
        <v>45900</v>
      </c>
      <c r="G242" s="10">
        <v>0</v>
      </c>
      <c r="H242" s="10">
        <v>0</v>
      </c>
      <c r="I242" s="10">
        <v>0</v>
      </c>
      <c r="J242" t="s">
        <v>54</v>
      </c>
      <c r="K242" s="10">
        <v>8001</v>
      </c>
    </row>
    <row r="243" spans="1:11">
      <c r="A243" s="10">
        <v>5001</v>
      </c>
      <c r="B243" s="10">
        <v>4</v>
      </c>
      <c r="C243" s="10">
        <v>207</v>
      </c>
      <c r="D243" s="29">
        <v>4868.6400000000003</v>
      </c>
      <c r="E243" s="29">
        <v>1311.096</v>
      </c>
      <c r="F243" s="30">
        <v>45991</v>
      </c>
      <c r="G243" s="10">
        <v>0</v>
      </c>
      <c r="H243" s="10">
        <v>0</v>
      </c>
      <c r="I243" s="10">
        <v>0</v>
      </c>
      <c r="J243" t="s">
        <v>54</v>
      </c>
      <c r="K243" s="10">
        <v>8005</v>
      </c>
    </row>
    <row r="244" spans="1:11">
      <c r="A244" s="10">
        <v>5005</v>
      </c>
      <c r="B244" s="10">
        <v>5</v>
      </c>
      <c r="C244" s="10">
        <v>83</v>
      </c>
      <c r="D244" s="29">
        <v>1407.68</v>
      </c>
      <c r="E244" s="29">
        <v>422.61099999999999</v>
      </c>
      <c r="F244" s="30">
        <v>46022</v>
      </c>
      <c r="G244" s="10">
        <v>0</v>
      </c>
      <c r="H244" s="10">
        <v>0</v>
      </c>
      <c r="I244" s="10">
        <v>0</v>
      </c>
      <c r="J244" t="s">
        <v>54</v>
      </c>
      <c r="K244" s="10">
        <v>8018</v>
      </c>
    </row>
    <row r="245" spans="1:11">
      <c r="A245" s="10">
        <v>5005</v>
      </c>
      <c r="B245" s="10">
        <v>2</v>
      </c>
      <c r="C245" s="10">
        <v>134</v>
      </c>
      <c r="D245" s="29">
        <v>2406.64</v>
      </c>
      <c r="E245" s="29">
        <v>387.23599999999999</v>
      </c>
      <c r="F245" s="30">
        <v>45838</v>
      </c>
      <c r="G245" s="10">
        <v>0</v>
      </c>
      <c r="H245" s="10">
        <v>0</v>
      </c>
      <c r="I245" s="10">
        <v>0</v>
      </c>
      <c r="J245" t="s">
        <v>54</v>
      </c>
      <c r="K245" s="10">
        <v>8002</v>
      </c>
    </row>
    <row r="246" spans="1:11">
      <c r="A246" s="10">
        <v>5004</v>
      </c>
      <c r="B246" s="10">
        <v>2</v>
      </c>
      <c r="C246" s="10">
        <v>135</v>
      </c>
      <c r="D246" s="29">
        <v>2710.8</v>
      </c>
      <c r="E246" s="29">
        <v>677.70399999999995</v>
      </c>
      <c r="F246" s="30">
        <v>45322</v>
      </c>
      <c r="G246" s="10">
        <v>0</v>
      </c>
      <c r="H246" s="10">
        <v>0</v>
      </c>
      <c r="I246" s="10">
        <v>0</v>
      </c>
      <c r="J246" t="s">
        <v>54</v>
      </c>
      <c r="K246" s="10">
        <v>8010</v>
      </c>
    </row>
    <row r="247" spans="1:11">
      <c r="A247" s="10">
        <v>5023</v>
      </c>
      <c r="B247" s="10">
        <v>1</v>
      </c>
      <c r="C247" s="10">
        <v>233</v>
      </c>
      <c r="D247" s="29">
        <v>2588.63</v>
      </c>
      <c r="E247" s="29">
        <v>1008.9880000000001</v>
      </c>
      <c r="F247" s="30">
        <v>45565</v>
      </c>
      <c r="G247" s="10">
        <v>0</v>
      </c>
      <c r="H247" s="10">
        <v>0</v>
      </c>
      <c r="I247" s="10">
        <v>0</v>
      </c>
      <c r="J247" t="s">
        <v>54</v>
      </c>
      <c r="K247" s="10">
        <v>8012</v>
      </c>
    </row>
    <row r="248" spans="1:11">
      <c r="A248" s="10">
        <v>5003</v>
      </c>
      <c r="B248" s="10">
        <v>1</v>
      </c>
      <c r="C248" s="10">
        <v>-164</v>
      </c>
      <c r="D248" s="29">
        <v>-2855.24</v>
      </c>
      <c r="E248" s="29">
        <v>-257.94200000000001</v>
      </c>
      <c r="F248" s="30">
        <v>45322</v>
      </c>
      <c r="G248" s="10">
        <v>1</v>
      </c>
      <c r="H248" s="10">
        <v>1</v>
      </c>
      <c r="I248" s="10">
        <v>0</v>
      </c>
      <c r="J248" t="s">
        <v>2</v>
      </c>
      <c r="K248" s="10">
        <v>8002</v>
      </c>
    </row>
    <row r="249" spans="1:11">
      <c r="A249" s="10">
        <v>5003</v>
      </c>
      <c r="B249" s="10">
        <v>1</v>
      </c>
      <c r="C249" s="10">
        <v>140</v>
      </c>
      <c r="D249" s="29">
        <v>1150.8</v>
      </c>
      <c r="E249" s="29">
        <v>403.00400000000002</v>
      </c>
      <c r="F249" s="30">
        <v>45535</v>
      </c>
      <c r="G249" s="10">
        <v>0</v>
      </c>
      <c r="H249" s="10">
        <v>0</v>
      </c>
      <c r="I249" s="10">
        <v>0</v>
      </c>
      <c r="J249" t="s">
        <v>54</v>
      </c>
      <c r="K249" s="10">
        <v>8018</v>
      </c>
    </row>
    <row r="250" spans="1:11">
      <c r="A250" s="10">
        <v>5010</v>
      </c>
      <c r="B250" s="10">
        <v>1</v>
      </c>
      <c r="C250" s="10">
        <v>104</v>
      </c>
      <c r="D250" s="29">
        <v>517.91999999999996</v>
      </c>
      <c r="E250" s="29">
        <v>112.633</v>
      </c>
      <c r="F250" s="30">
        <v>45596</v>
      </c>
      <c r="G250" s="10">
        <v>0</v>
      </c>
      <c r="H250" s="10">
        <v>0</v>
      </c>
      <c r="I250" s="10">
        <v>0</v>
      </c>
      <c r="J250" t="s">
        <v>54</v>
      </c>
      <c r="K250" s="10">
        <v>8010</v>
      </c>
    </row>
    <row r="251" spans="1:11">
      <c r="A251" s="10">
        <v>5001</v>
      </c>
      <c r="B251" s="10">
        <v>5</v>
      </c>
      <c r="C251" s="10">
        <v>211</v>
      </c>
      <c r="D251" s="29">
        <v>3312.7</v>
      </c>
      <c r="E251" s="29">
        <v>956.91099999999994</v>
      </c>
      <c r="F251" s="30">
        <v>45596</v>
      </c>
      <c r="G251" s="10">
        <v>0</v>
      </c>
      <c r="H251" s="10">
        <v>0</v>
      </c>
      <c r="I251" s="10">
        <v>0</v>
      </c>
      <c r="J251" t="s">
        <v>54</v>
      </c>
      <c r="K251" s="10">
        <v>8024</v>
      </c>
    </row>
    <row r="252" spans="1:11">
      <c r="A252" s="10">
        <v>5023</v>
      </c>
      <c r="B252" s="10">
        <v>4</v>
      </c>
      <c r="C252" s="10">
        <v>83</v>
      </c>
      <c r="D252" s="29">
        <v>916.32</v>
      </c>
      <c r="E252" s="29">
        <v>236.3</v>
      </c>
      <c r="F252" s="30">
        <v>46022</v>
      </c>
      <c r="G252" s="10">
        <v>0</v>
      </c>
      <c r="H252" s="10">
        <v>0</v>
      </c>
      <c r="I252" s="10">
        <v>0</v>
      </c>
      <c r="J252" t="s">
        <v>54</v>
      </c>
      <c r="K252" s="10">
        <v>8010</v>
      </c>
    </row>
    <row r="253" spans="1:11">
      <c r="A253" s="10">
        <v>5007</v>
      </c>
      <c r="B253" s="10">
        <v>1</v>
      </c>
      <c r="C253" s="10">
        <v>197</v>
      </c>
      <c r="D253" s="29">
        <v>3878.93</v>
      </c>
      <c r="E253" s="29">
        <v>1187.807</v>
      </c>
      <c r="F253" s="30">
        <v>45900</v>
      </c>
      <c r="G253" s="10">
        <v>0</v>
      </c>
      <c r="H253" s="10">
        <v>0</v>
      </c>
      <c r="I253" s="10">
        <v>0</v>
      </c>
      <c r="J253" t="s">
        <v>54</v>
      </c>
      <c r="K253" s="10">
        <v>8018</v>
      </c>
    </row>
    <row r="254" spans="1:11">
      <c r="A254" s="10">
        <v>5009</v>
      </c>
      <c r="B254" s="10">
        <v>1</v>
      </c>
      <c r="C254" s="10">
        <v>82</v>
      </c>
      <c r="D254" s="29">
        <v>1325.12</v>
      </c>
      <c r="E254" s="29">
        <v>503.88299999999998</v>
      </c>
      <c r="F254" s="30">
        <v>46022</v>
      </c>
      <c r="G254" s="10">
        <v>0</v>
      </c>
      <c r="H254" s="10">
        <v>0</v>
      </c>
      <c r="I254" s="10">
        <v>0</v>
      </c>
      <c r="J254" t="s">
        <v>54</v>
      </c>
      <c r="K254" s="10">
        <v>8002</v>
      </c>
    </row>
    <row r="255" spans="1:11">
      <c r="A255" s="10">
        <v>5012</v>
      </c>
      <c r="B255" s="10">
        <v>1</v>
      </c>
      <c r="C255" s="10">
        <v>186</v>
      </c>
      <c r="D255" s="29">
        <v>2823.48</v>
      </c>
      <c r="E255" s="29">
        <v>589.88800000000003</v>
      </c>
      <c r="F255" s="30">
        <v>45412</v>
      </c>
      <c r="G255" s="10">
        <v>0</v>
      </c>
      <c r="H255" s="10">
        <v>0</v>
      </c>
      <c r="I255" s="10">
        <v>0</v>
      </c>
      <c r="J255" t="s">
        <v>54</v>
      </c>
      <c r="K255" s="10">
        <v>8002</v>
      </c>
    </row>
    <row r="256" spans="1:11">
      <c r="A256" s="10">
        <v>5012</v>
      </c>
      <c r="B256" s="10">
        <v>2</v>
      </c>
      <c r="C256" s="10">
        <v>237</v>
      </c>
      <c r="D256" s="29">
        <v>2178.0300000000002</v>
      </c>
      <c r="E256" s="29">
        <v>357.16800000000001</v>
      </c>
      <c r="F256" s="30">
        <v>45930</v>
      </c>
      <c r="G256" s="10">
        <v>0</v>
      </c>
      <c r="H256" s="10">
        <v>0</v>
      </c>
      <c r="I256" s="10">
        <v>0</v>
      </c>
      <c r="J256" t="s">
        <v>54</v>
      </c>
      <c r="K256" s="10">
        <v>8008</v>
      </c>
    </row>
    <row r="257" spans="1:11">
      <c r="A257" s="10">
        <v>5026</v>
      </c>
      <c r="B257" s="10">
        <v>6</v>
      </c>
      <c r="C257" s="10">
        <v>100</v>
      </c>
      <c r="D257" s="29">
        <v>719</v>
      </c>
      <c r="E257" s="29">
        <v>153.27199999999999</v>
      </c>
      <c r="F257" s="30">
        <v>45991</v>
      </c>
      <c r="G257" s="10">
        <v>0</v>
      </c>
      <c r="H257" s="10">
        <v>0</v>
      </c>
      <c r="I257" s="10">
        <v>0</v>
      </c>
      <c r="J257" t="s">
        <v>54</v>
      </c>
      <c r="K257" s="10">
        <v>8002</v>
      </c>
    </row>
    <row r="258" spans="1:11">
      <c r="A258" s="10">
        <v>5009</v>
      </c>
      <c r="B258" s="10">
        <v>2</v>
      </c>
      <c r="C258" s="10">
        <v>169</v>
      </c>
      <c r="D258" s="29">
        <v>1652.82</v>
      </c>
      <c r="E258" s="29">
        <v>484.82499999999999</v>
      </c>
      <c r="F258" s="30">
        <v>45991</v>
      </c>
      <c r="G258" s="10">
        <v>0</v>
      </c>
      <c r="H258" s="10">
        <v>0</v>
      </c>
      <c r="I258" s="10">
        <v>0</v>
      </c>
      <c r="J258" t="s">
        <v>54</v>
      </c>
      <c r="K258" s="10">
        <v>8015</v>
      </c>
    </row>
    <row r="259" spans="1:11">
      <c r="A259" s="10">
        <v>5002</v>
      </c>
      <c r="B259" s="10">
        <v>2</v>
      </c>
      <c r="C259" s="10">
        <v>225</v>
      </c>
      <c r="D259" s="29">
        <v>4972.5</v>
      </c>
      <c r="E259" s="29">
        <v>1330.75</v>
      </c>
      <c r="F259" s="30">
        <v>45688</v>
      </c>
      <c r="G259" s="10">
        <v>0</v>
      </c>
      <c r="H259" s="10">
        <v>0</v>
      </c>
      <c r="I259" s="10">
        <v>0</v>
      </c>
      <c r="J259" t="s">
        <v>54</v>
      </c>
      <c r="K259" s="10">
        <v>8028</v>
      </c>
    </row>
    <row r="260" spans="1:11">
      <c r="A260" s="10">
        <v>5003</v>
      </c>
      <c r="B260" s="10">
        <v>1</v>
      </c>
      <c r="C260" s="10">
        <v>295</v>
      </c>
      <c r="D260" s="29">
        <v>4324.7</v>
      </c>
      <c r="E260" s="29">
        <v>863.327</v>
      </c>
      <c r="F260" s="30">
        <v>45747</v>
      </c>
      <c r="G260" s="10">
        <v>0</v>
      </c>
      <c r="H260" s="10">
        <v>0</v>
      </c>
      <c r="I260" s="10">
        <v>0</v>
      </c>
      <c r="J260" t="s">
        <v>54</v>
      </c>
      <c r="K260" s="10">
        <v>8002</v>
      </c>
    </row>
    <row r="261" spans="1:11">
      <c r="A261" s="10">
        <v>5005</v>
      </c>
      <c r="B261" s="10">
        <v>2</v>
      </c>
      <c r="C261" s="10">
        <v>182</v>
      </c>
      <c r="D261" s="29">
        <v>3094</v>
      </c>
      <c r="E261" s="29">
        <v>1155.961</v>
      </c>
      <c r="F261" s="30">
        <v>45596</v>
      </c>
      <c r="G261" s="10">
        <v>0</v>
      </c>
      <c r="H261" s="10">
        <v>0</v>
      </c>
      <c r="I261" s="10">
        <v>0</v>
      </c>
      <c r="J261" t="s">
        <v>54</v>
      </c>
      <c r="K261" s="10">
        <v>8017</v>
      </c>
    </row>
    <row r="262" spans="1:11">
      <c r="A262" s="10">
        <v>5011</v>
      </c>
      <c r="B262" s="10">
        <v>1</v>
      </c>
      <c r="C262" s="10">
        <v>250</v>
      </c>
      <c r="D262" s="29">
        <v>1390</v>
      </c>
      <c r="E262" s="29">
        <v>398.87799999999999</v>
      </c>
      <c r="F262" s="30">
        <v>46022</v>
      </c>
      <c r="G262" s="10">
        <v>0</v>
      </c>
      <c r="H262" s="10">
        <v>0</v>
      </c>
      <c r="I262" s="10">
        <v>0</v>
      </c>
      <c r="J262" t="s">
        <v>54</v>
      </c>
      <c r="K262" s="10">
        <v>8007</v>
      </c>
    </row>
    <row r="263" spans="1:11">
      <c r="A263" s="10">
        <v>5009</v>
      </c>
      <c r="B263" s="10">
        <v>1</v>
      </c>
      <c r="C263" s="10">
        <v>42</v>
      </c>
      <c r="D263" s="29">
        <v>865.2</v>
      </c>
      <c r="E263" s="29">
        <v>288.74799999999999</v>
      </c>
      <c r="F263" s="30">
        <v>45991</v>
      </c>
      <c r="G263" s="10">
        <v>0</v>
      </c>
      <c r="H263" s="10">
        <v>0</v>
      </c>
      <c r="I263" s="10">
        <v>0</v>
      </c>
      <c r="J263" t="s">
        <v>54</v>
      </c>
      <c r="K263" s="10">
        <v>8010</v>
      </c>
    </row>
    <row r="264" spans="1:11">
      <c r="A264" s="10">
        <v>5006</v>
      </c>
      <c r="B264" s="10">
        <v>1</v>
      </c>
      <c r="C264" s="10">
        <v>196</v>
      </c>
      <c r="D264" s="29">
        <v>392</v>
      </c>
      <c r="E264" s="29">
        <v>100.75700000000001</v>
      </c>
      <c r="F264" s="30">
        <v>45930</v>
      </c>
      <c r="G264" s="10">
        <v>0</v>
      </c>
      <c r="H264" s="10">
        <v>0</v>
      </c>
      <c r="I264" s="10">
        <v>0</v>
      </c>
      <c r="J264" t="s">
        <v>54</v>
      </c>
      <c r="K264" s="10">
        <v>8017</v>
      </c>
    </row>
    <row r="265" spans="1:11">
      <c r="A265" s="10">
        <v>5011</v>
      </c>
      <c r="B265" s="10">
        <v>2</v>
      </c>
      <c r="C265" s="10">
        <v>125</v>
      </c>
      <c r="D265" s="29">
        <v>243.75</v>
      </c>
      <c r="E265" s="29">
        <v>39.750999999999998</v>
      </c>
      <c r="F265" s="30">
        <v>45808</v>
      </c>
      <c r="G265" s="10">
        <v>0</v>
      </c>
      <c r="H265" s="10">
        <v>0</v>
      </c>
      <c r="I265" s="10">
        <v>0</v>
      </c>
      <c r="J265" t="s">
        <v>54</v>
      </c>
      <c r="K265" s="10">
        <v>8009</v>
      </c>
    </row>
    <row r="266" spans="1:11">
      <c r="A266" s="10">
        <v>5004</v>
      </c>
      <c r="B266" s="10">
        <v>1</v>
      </c>
      <c r="C266" s="10">
        <v>234</v>
      </c>
      <c r="D266" s="29">
        <v>3921.84</v>
      </c>
      <c r="E266" s="29">
        <v>1555.171</v>
      </c>
      <c r="F266" s="30">
        <v>45716</v>
      </c>
      <c r="G266" s="10">
        <v>0</v>
      </c>
      <c r="H266" s="10">
        <v>0</v>
      </c>
      <c r="I266" s="10">
        <v>0</v>
      </c>
      <c r="J266" t="s">
        <v>54</v>
      </c>
      <c r="K266" s="10">
        <v>8028</v>
      </c>
    </row>
    <row r="267" spans="1:11">
      <c r="A267" s="10">
        <v>5002</v>
      </c>
      <c r="B267" s="10">
        <v>1</v>
      </c>
      <c r="C267" s="10">
        <v>145</v>
      </c>
      <c r="D267" s="29">
        <v>2885.5</v>
      </c>
      <c r="E267" s="29">
        <v>759.44399999999996</v>
      </c>
      <c r="F267" s="30">
        <v>45412</v>
      </c>
      <c r="G267" s="10">
        <v>0</v>
      </c>
      <c r="H267" s="10">
        <v>0</v>
      </c>
      <c r="I267" s="10">
        <v>0</v>
      </c>
      <c r="J267" t="s">
        <v>54</v>
      </c>
      <c r="K267" s="10">
        <v>8002</v>
      </c>
    </row>
    <row r="268" spans="1:11">
      <c r="A268" s="10">
        <v>5006</v>
      </c>
      <c r="B268" s="10">
        <v>6</v>
      </c>
      <c r="C268" s="10">
        <v>59</v>
      </c>
      <c r="D268" s="29">
        <v>1002.41</v>
      </c>
      <c r="E268" s="29">
        <v>330.767</v>
      </c>
      <c r="F268" s="30">
        <v>45626</v>
      </c>
      <c r="G268" s="10">
        <v>0</v>
      </c>
      <c r="H268" s="10">
        <v>0</v>
      </c>
      <c r="I268" s="10">
        <v>0</v>
      </c>
      <c r="J268" t="s">
        <v>54</v>
      </c>
      <c r="K268" s="10">
        <v>8008</v>
      </c>
    </row>
    <row r="269" spans="1:11">
      <c r="A269" s="10">
        <v>5014</v>
      </c>
      <c r="B269" s="10">
        <v>2</v>
      </c>
      <c r="C269" s="10">
        <v>-174</v>
      </c>
      <c r="D269" s="29">
        <v>-530.70000000000005</v>
      </c>
      <c r="E269" s="29">
        <v>0</v>
      </c>
      <c r="F269" s="30">
        <v>45991</v>
      </c>
      <c r="G269" s="10">
        <v>1</v>
      </c>
      <c r="H269" s="10">
        <v>1</v>
      </c>
      <c r="I269" s="10">
        <v>0</v>
      </c>
      <c r="J269" t="s">
        <v>2</v>
      </c>
      <c r="K269" s="10">
        <v>8001</v>
      </c>
    </row>
    <row r="270" spans="1:11">
      <c r="A270" s="10">
        <v>5006</v>
      </c>
      <c r="B270" s="10">
        <v>2</v>
      </c>
      <c r="C270" s="10">
        <v>232</v>
      </c>
      <c r="D270" s="29">
        <v>909.44</v>
      </c>
      <c r="E270" s="29">
        <v>155.572</v>
      </c>
      <c r="F270" s="30">
        <v>45688</v>
      </c>
      <c r="G270" s="10">
        <v>0</v>
      </c>
      <c r="H270" s="10">
        <v>0</v>
      </c>
      <c r="I270" s="10">
        <v>0</v>
      </c>
      <c r="J270" t="s">
        <v>54</v>
      </c>
      <c r="K270" s="10">
        <v>8015</v>
      </c>
    </row>
    <row r="271" spans="1:11">
      <c r="A271" s="10">
        <v>5018</v>
      </c>
      <c r="B271" s="10">
        <v>2</v>
      </c>
      <c r="C271" s="10">
        <v>35</v>
      </c>
      <c r="D271" s="29">
        <v>120.75</v>
      </c>
      <c r="E271" s="29">
        <v>47.554000000000002</v>
      </c>
      <c r="F271" s="30">
        <v>45504</v>
      </c>
      <c r="G271" s="10">
        <v>0</v>
      </c>
      <c r="H271" s="10">
        <v>0</v>
      </c>
      <c r="I271" s="10">
        <v>0</v>
      </c>
      <c r="J271" t="s">
        <v>54</v>
      </c>
      <c r="K271" s="10">
        <v>8019</v>
      </c>
    </row>
    <row r="272" spans="1:11">
      <c r="A272" s="10">
        <v>5001</v>
      </c>
      <c r="B272" s="10">
        <v>1</v>
      </c>
      <c r="C272" s="10">
        <v>316</v>
      </c>
      <c r="D272" s="29">
        <v>4686.28</v>
      </c>
      <c r="E272" s="29">
        <v>1618.1959999999999</v>
      </c>
      <c r="F272" s="30">
        <v>45747</v>
      </c>
      <c r="G272" s="10">
        <v>0</v>
      </c>
      <c r="H272" s="10">
        <v>0</v>
      </c>
      <c r="I272" s="10">
        <v>0</v>
      </c>
      <c r="J272" t="s">
        <v>54</v>
      </c>
      <c r="K272" s="10">
        <v>8022</v>
      </c>
    </row>
    <row r="273" spans="1:11">
      <c r="A273" s="10">
        <v>5001</v>
      </c>
      <c r="B273" s="10">
        <v>1</v>
      </c>
      <c r="C273" s="10">
        <v>304</v>
      </c>
      <c r="D273" s="29">
        <v>3173.76</v>
      </c>
      <c r="E273" s="29">
        <v>781.53800000000001</v>
      </c>
      <c r="F273" s="30">
        <v>45626</v>
      </c>
      <c r="G273" s="10">
        <v>0</v>
      </c>
      <c r="H273" s="10">
        <v>0</v>
      </c>
      <c r="I273" s="10">
        <v>0</v>
      </c>
      <c r="J273" t="s">
        <v>54</v>
      </c>
      <c r="K273" s="10">
        <v>8002</v>
      </c>
    </row>
    <row r="274" spans="1:11">
      <c r="A274" s="10">
        <v>5002</v>
      </c>
      <c r="B274" s="10">
        <v>3</v>
      </c>
      <c r="C274" s="10">
        <v>-116</v>
      </c>
      <c r="D274" s="29">
        <v>-2717.88</v>
      </c>
      <c r="E274" s="29">
        <v>0</v>
      </c>
      <c r="F274" s="30">
        <v>45930</v>
      </c>
      <c r="G274" s="10">
        <v>1</v>
      </c>
      <c r="H274" s="10">
        <v>1</v>
      </c>
      <c r="I274" s="10">
        <v>0</v>
      </c>
      <c r="J274" t="s">
        <v>2</v>
      </c>
      <c r="K274" s="10">
        <v>8029</v>
      </c>
    </row>
    <row r="275" spans="1:11">
      <c r="A275" s="10">
        <v>5005</v>
      </c>
      <c r="B275" s="10">
        <v>6</v>
      </c>
      <c r="C275" s="10">
        <v>-76</v>
      </c>
      <c r="D275" s="29">
        <v>-1441.72</v>
      </c>
      <c r="E275" s="29">
        <v>0</v>
      </c>
      <c r="F275" s="30">
        <v>45961</v>
      </c>
      <c r="G275" s="10">
        <v>1</v>
      </c>
      <c r="H275" s="10">
        <v>1</v>
      </c>
      <c r="I275" s="10">
        <v>0</v>
      </c>
      <c r="J275" t="s">
        <v>2</v>
      </c>
      <c r="K275" s="10">
        <v>8014</v>
      </c>
    </row>
    <row r="276" spans="1:11">
      <c r="A276" s="10">
        <v>5007</v>
      </c>
      <c r="B276" s="10">
        <v>6</v>
      </c>
      <c r="C276" s="10">
        <v>81</v>
      </c>
      <c r="D276" s="29">
        <v>1368.09</v>
      </c>
      <c r="E276" s="29">
        <v>249.376</v>
      </c>
      <c r="F276" s="30">
        <v>46022</v>
      </c>
      <c r="G276" s="10">
        <v>0</v>
      </c>
      <c r="H276" s="10">
        <v>0</v>
      </c>
      <c r="I276" s="10">
        <v>0</v>
      </c>
      <c r="J276" t="s">
        <v>54</v>
      </c>
      <c r="K276" s="10">
        <v>8004</v>
      </c>
    </row>
    <row r="277" spans="1:11">
      <c r="A277" s="10">
        <v>5015</v>
      </c>
      <c r="B277" s="10">
        <v>1</v>
      </c>
      <c r="C277" s="10">
        <v>65</v>
      </c>
      <c r="D277" s="29">
        <v>1144</v>
      </c>
      <c r="E277" s="29">
        <v>403.04300000000001</v>
      </c>
      <c r="F277" s="30">
        <v>45808</v>
      </c>
      <c r="G277" s="10">
        <v>0</v>
      </c>
      <c r="H277" s="10">
        <v>0</v>
      </c>
      <c r="I277" s="10">
        <v>0</v>
      </c>
      <c r="J277" t="s">
        <v>54</v>
      </c>
      <c r="K277" s="10">
        <v>8012</v>
      </c>
    </row>
    <row r="278" spans="1:11">
      <c r="A278" s="10">
        <v>5002</v>
      </c>
      <c r="B278" s="10">
        <v>1</v>
      </c>
      <c r="C278" s="10">
        <v>117</v>
      </c>
      <c r="D278" s="29">
        <v>911.43</v>
      </c>
      <c r="E278" s="29">
        <v>190.23500000000001</v>
      </c>
      <c r="F278" s="30">
        <v>45596</v>
      </c>
      <c r="G278" s="10">
        <v>0</v>
      </c>
      <c r="H278" s="10">
        <v>0</v>
      </c>
      <c r="I278" s="10">
        <v>0</v>
      </c>
      <c r="J278" t="s">
        <v>54</v>
      </c>
      <c r="K278" s="10">
        <v>8001</v>
      </c>
    </row>
    <row r="279" spans="1:11">
      <c r="A279" s="10">
        <v>5009</v>
      </c>
      <c r="B279" s="10">
        <v>1</v>
      </c>
      <c r="C279" s="10">
        <v>116</v>
      </c>
      <c r="D279" s="29">
        <v>448.92</v>
      </c>
      <c r="E279" s="29">
        <v>109.694</v>
      </c>
      <c r="F279" s="30">
        <v>45657</v>
      </c>
      <c r="G279" s="10">
        <v>0</v>
      </c>
      <c r="H279" s="10">
        <v>0</v>
      </c>
      <c r="I279" s="10">
        <v>0</v>
      </c>
      <c r="J279" t="s">
        <v>54</v>
      </c>
      <c r="K279" s="10">
        <v>8005</v>
      </c>
    </row>
    <row r="280" spans="1:11">
      <c r="A280" s="10">
        <v>5004</v>
      </c>
      <c r="B280" s="10">
        <v>1</v>
      </c>
      <c r="C280" s="10">
        <v>344</v>
      </c>
      <c r="D280" s="29">
        <v>7533.6</v>
      </c>
      <c r="E280" s="29">
        <v>2325.6950000000002</v>
      </c>
      <c r="F280" s="30">
        <v>45626</v>
      </c>
      <c r="G280" s="10">
        <v>0</v>
      </c>
      <c r="H280" s="10">
        <v>0</v>
      </c>
      <c r="I280" s="10">
        <v>0</v>
      </c>
      <c r="J280" t="s">
        <v>54</v>
      </c>
      <c r="K280" s="10">
        <v>8005</v>
      </c>
    </row>
    <row r="281" spans="1:11">
      <c r="A281" s="10">
        <v>5005</v>
      </c>
      <c r="B281" s="10">
        <v>1</v>
      </c>
      <c r="C281" s="10">
        <v>137</v>
      </c>
      <c r="D281" s="29">
        <v>438.4</v>
      </c>
      <c r="E281" s="29">
        <v>118.143</v>
      </c>
      <c r="F281" s="30">
        <v>45473</v>
      </c>
      <c r="G281" s="10">
        <v>0</v>
      </c>
      <c r="H281" s="10">
        <v>0</v>
      </c>
      <c r="I281" s="10">
        <v>0</v>
      </c>
      <c r="J281" t="s">
        <v>54</v>
      </c>
      <c r="K281" s="10">
        <v>8002</v>
      </c>
    </row>
    <row r="282" spans="1:11">
      <c r="A282" s="10">
        <v>5001</v>
      </c>
      <c r="B282" s="10">
        <v>1</v>
      </c>
      <c r="C282" s="10">
        <v>172</v>
      </c>
      <c r="D282" s="29">
        <v>2576.56</v>
      </c>
      <c r="E282" s="29">
        <v>483.911</v>
      </c>
      <c r="F282" s="30">
        <v>45688</v>
      </c>
      <c r="G282" s="10">
        <v>0</v>
      </c>
      <c r="H282" s="10">
        <v>0</v>
      </c>
      <c r="I282" s="10">
        <v>0</v>
      </c>
      <c r="J282" t="s">
        <v>54</v>
      </c>
      <c r="K282" s="10">
        <v>8003</v>
      </c>
    </row>
    <row r="283" spans="1:11">
      <c r="A283" s="10">
        <v>5024</v>
      </c>
      <c r="B283" s="10">
        <v>3</v>
      </c>
      <c r="C283" s="10">
        <v>211</v>
      </c>
      <c r="D283" s="29">
        <v>1924.32</v>
      </c>
      <c r="E283" s="29">
        <v>715.89200000000005</v>
      </c>
      <c r="F283" s="30">
        <v>45596</v>
      </c>
      <c r="G283" s="10">
        <v>0</v>
      </c>
      <c r="H283" s="10">
        <v>0</v>
      </c>
      <c r="I283" s="10">
        <v>0</v>
      </c>
      <c r="J283" t="s">
        <v>54</v>
      </c>
      <c r="K283" s="10">
        <v>8004</v>
      </c>
    </row>
    <row r="284" spans="1:11">
      <c r="A284" s="10">
        <v>5027</v>
      </c>
      <c r="B284" s="10">
        <v>1</v>
      </c>
      <c r="C284" s="10">
        <v>380</v>
      </c>
      <c r="D284" s="29">
        <v>2378.8000000000002</v>
      </c>
      <c r="E284" s="29">
        <v>977.18600000000004</v>
      </c>
      <c r="F284" s="30">
        <v>45991</v>
      </c>
      <c r="G284" s="10">
        <v>0</v>
      </c>
      <c r="H284" s="10">
        <v>0</v>
      </c>
      <c r="I284" s="10">
        <v>0</v>
      </c>
      <c r="J284" t="s">
        <v>54</v>
      </c>
      <c r="K284" s="10">
        <v>8002</v>
      </c>
    </row>
    <row r="285" spans="1:11">
      <c r="A285" s="10">
        <v>5004</v>
      </c>
      <c r="B285" s="10">
        <v>2</v>
      </c>
      <c r="C285" s="10">
        <v>160</v>
      </c>
      <c r="D285" s="29">
        <v>1148.8</v>
      </c>
      <c r="E285" s="29">
        <v>427.685</v>
      </c>
      <c r="F285" s="30">
        <v>46022</v>
      </c>
      <c r="G285" s="10">
        <v>0</v>
      </c>
      <c r="H285" s="10">
        <v>0</v>
      </c>
      <c r="I285" s="10">
        <v>0</v>
      </c>
      <c r="J285" t="s">
        <v>54</v>
      </c>
      <c r="K285" s="10">
        <v>8011</v>
      </c>
    </row>
    <row r="286" spans="1:11">
      <c r="A286" s="10">
        <v>5002</v>
      </c>
      <c r="B286" s="10">
        <v>3</v>
      </c>
      <c r="C286" s="10">
        <v>157</v>
      </c>
      <c r="D286" s="29">
        <v>2658.01</v>
      </c>
      <c r="E286" s="29">
        <v>1083.8869999999999</v>
      </c>
      <c r="F286" s="30">
        <v>45626</v>
      </c>
      <c r="G286" s="10">
        <v>0</v>
      </c>
      <c r="H286" s="10">
        <v>0</v>
      </c>
      <c r="I286" s="10">
        <v>0</v>
      </c>
      <c r="J286" t="s">
        <v>54</v>
      </c>
      <c r="K286" s="10">
        <v>8008</v>
      </c>
    </row>
    <row r="287" spans="1:11">
      <c r="A287" s="10">
        <v>5012</v>
      </c>
      <c r="B287" s="10">
        <v>1</v>
      </c>
      <c r="C287" s="10">
        <v>211</v>
      </c>
      <c r="D287" s="29">
        <v>4215.78</v>
      </c>
      <c r="E287" s="29">
        <v>1122.9860000000001</v>
      </c>
      <c r="F287" s="30">
        <v>45657</v>
      </c>
      <c r="G287" s="10">
        <v>0</v>
      </c>
      <c r="H287" s="10">
        <v>0</v>
      </c>
      <c r="I287" s="10">
        <v>0</v>
      </c>
      <c r="J287" t="s">
        <v>54</v>
      </c>
      <c r="K287" s="10">
        <v>8006</v>
      </c>
    </row>
    <row r="288" spans="1:11">
      <c r="A288" s="10">
        <v>5010</v>
      </c>
      <c r="B288" s="10">
        <v>3</v>
      </c>
      <c r="C288" s="10">
        <v>-166</v>
      </c>
      <c r="D288" s="29">
        <v>-3207.12</v>
      </c>
      <c r="E288" s="29">
        <v>-326.75799999999998</v>
      </c>
      <c r="F288" s="30">
        <v>45688</v>
      </c>
      <c r="G288" s="10">
        <v>1</v>
      </c>
      <c r="H288" s="10">
        <v>1</v>
      </c>
      <c r="I288" s="10">
        <v>0</v>
      </c>
      <c r="J288" t="s">
        <v>2</v>
      </c>
      <c r="K288" s="10">
        <v>8003</v>
      </c>
    </row>
    <row r="289" spans="1:11">
      <c r="A289" s="10">
        <v>5008</v>
      </c>
      <c r="B289" s="10">
        <v>3</v>
      </c>
      <c r="C289" s="10">
        <v>156</v>
      </c>
      <c r="D289" s="29">
        <v>3018.6</v>
      </c>
      <c r="E289" s="29">
        <v>1185.798</v>
      </c>
      <c r="F289" s="30">
        <v>45626</v>
      </c>
      <c r="G289" s="10">
        <v>0</v>
      </c>
      <c r="H289" s="10">
        <v>0</v>
      </c>
      <c r="I289" s="10">
        <v>0</v>
      </c>
      <c r="J289" t="s">
        <v>54</v>
      </c>
      <c r="K289" s="10">
        <v>8021</v>
      </c>
    </row>
    <row r="290" spans="1:11">
      <c r="A290" s="10">
        <v>5011</v>
      </c>
      <c r="B290" s="10">
        <v>4</v>
      </c>
      <c r="C290" s="10">
        <v>139</v>
      </c>
      <c r="D290" s="29">
        <v>1345.52</v>
      </c>
      <c r="E290" s="29">
        <v>230.78</v>
      </c>
      <c r="F290" s="30">
        <v>45716</v>
      </c>
      <c r="G290" s="10">
        <v>0</v>
      </c>
      <c r="H290" s="10">
        <v>0</v>
      </c>
      <c r="I290" s="10">
        <v>0</v>
      </c>
      <c r="J290" t="s">
        <v>54</v>
      </c>
      <c r="K290" s="10">
        <v>8001</v>
      </c>
    </row>
    <row r="291" spans="1:11">
      <c r="A291" s="10">
        <v>5011</v>
      </c>
      <c r="B291" s="10">
        <v>4</v>
      </c>
      <c r="C291" s="10">
        <v>-270</v>
      </c>
      <c r="D291" s="29">
        <v>-3067.2</v>
      </c>
      <c r="E291" s="29">
        <v>0</v>
      </c>
      <c r="F291" s="30">
        <v>46022</v>
      </c>
      <c r="G291" s="10">
        <v>1</v>
      </c>
      <c r="H291" s="10">
        <v>1</v>
      </c>
      <c r="I291" s="10">
        <v>0</v>
      </c>
      <c r="J291" t="s">
        <v>2</v>
      </c>
      <c r="K291" s="10">
        <v>8005</v>
      </c>
    </row>
    <row r="292" spans="1:11">
      <c r="A292" s="10">
        <v>5008</v>
      </c>
      <c r="B292" s="10">
        <v>2</v>
      </c>
      <c r="C292" s="10">
        <v>115</v>
      </c>
      <c r="D292" s="29">
        <v>1205.2</v>
      </c>
      <c r="E292" s="29">
        <v>377.26799999999997</v>
      </c>
      <c r="F292" s="30">
        <v>45716</v>
      </c>
      <c r="G292" s="10">
        <v>0</v>
      </c>
      <c r="H292" s="10">
        <v>0</v>
      </c>
      <c r="I292" s="10">
        <v>0</v>
      </c>
      <c r="J292" t="s">
        <v>54</v>
      </c>
      <c r="K292" s="10">
        <v>8008</v>
      </c>
    </row>
    <row r="293" spans="1:11">
      <c r="A293" s="10">
        <v>5005</v>
      </c>
      <c r="B293" s="10">
        <v>1</v>
      </c>
      <c r="C293" s="10">
        <v>119</v>
      </c>
      <c r="D293" s="29">
        <v>2754.85</v>
      </c>
      <c r="E293" s="29">
        <v>1114.546</v>
      </c>
      <c r="F293" s="30">
        <v>45688</v>
      </c>
      <c r="G293" s="10">
        <v>0</v>
      </c>
      <c r="H293" s="10">
        <v>0</v>
      </c>
      <c r="I293" s="10">
        <v>0</v>
      </c>
      <c r="J293" t="s">
        <v>54</v>
      </c>
      <c r="K293" s="10">
        <v>8001</v>
      </c>
    </row>
    <row r="294" spans="1:11">
      <c r="A294" s="10">
        <v>5004</v>
      </c>
      <c r="B294" s="10">
        <v>1</v>
      </c>
      <c r="C294" s="10">
        <v>135</v>
      </c>
      <c r="D294" s="29">
        <v>1669.95</v>
      </c>
      <c r="E294" s="29">
        <v>569.71799999999996</v>
      </c>
      <c r="F294" s="30">
        <v>45443</v>
      </c>
      <c r="G294" s="10">
        <v>0</v>
      </c>
      <c r="H294" s="10">
        <v>0</v>
      </c>
      <c r="I294" s="10">
        <v>0</v>
      </c>
      <c r="J294" t="s">
        <v>54</v>
      </c>
      <c r="K294" s="10">
        <v>8006</v>
      </c>
    </row>
    <row r="295" spans="1:11">
      <c r="A295" s="10">
        <v>5004</v>
      </c>
      <c r="B295" s="10">
        <v>1</v>
      </c>
      <c r="C295" s="10">
        <v>274</v>
      </c>
      <c r="D295" s="29">
        <v>4433.32</v>
      </c>
      <c r="E295" s="29">
        <v>898.77599999999995</v>
      </c>
      <c r="F295" s="30">
        <v>45596</v>
      </c>
      <c r="G295" s="10">
        <v>0</v>
      </c>
      <c r="H295" s="10">
        <v>0</v>
      </c>
      <c r="I295" s="10">
        <v>0</v>
      </c>
      <c r="J295" t="s">
        <v>54</v>
      </c>
      <c r="K295" s="10">
        <v>8016</v>
      </c>
    </row>
    <row r="296" spans="1:11">
      <c r="A296" s="10">
        <v>5004</v>
      </c>
      <c r="B296" s="10">
        <v>1</v>
      </c>
      <c r="C296" s="10">
        <v>169</v>
      </c>
      <c r="D296" s="29">
        <v>3900.52</v>
      </c>
      <c r="E296" s="29">
        <v>1034.856</v>
      </c>
      <c r="F296" s="30">
        <v>46022</v>
      </c>
      <c r="G296" s="10">
        <v>0</v>
      </c>
      <c r="H296" s="10">
        <v>0</v>
      </c>
      <c r="I296" s="10">
        <v>0</v>
      </c>
      <c r="J296" t="s">
        <v>54</v>
      </c>
      <c r="K296" s="10">
        <v>8002</v>
      </c>
    </row>
    <row r="297" spans="1:11">
      <c r="A297" s="10">
        <v>5011</v>
      </c>
      <c r="B297" s="10">
        <v>1</v>
      </c>
      <c r="C297" s="10">
        <v>169</v>
      </c>
      <c r="D297" s="29">
        <v>1044.42</v>
      </c>
      <c r="E297" s="29">
        <v>272.69499999999999</v>
      </c>
      <c r="F297" s="30">
        <v>45473</v>
      </c>
      <c r="G297" s="10">
        <v>0</v>
      </c>
      <c r="H297" s="10">
        <v>0</v>
      </c>
      <c r="I297" s="10">
        <v>0</v>
      </c>
      <c r="J297" t="s">
        <v>54</v>
      </c>
      <c r="K297" s="10">
        <v>8005</v>
      </c>
    </row>
    <row r="298" spans="1:11">
      <c r="A298" s="10">
        <v>5003</v>
      </c>
      <c r="B298" s="10">
        <v>4</v>
      </c>
      <c r="C298" s="10">
        <v>33</v>
      </c>
      <c r="D298" s="29">
        <v>133.97999999999999</v>
      </c>
      <c r="E298" s="29">
        <v>27.95</v>
      </c>
      <c r="F298" s="30">
        <v>45869</v>
      </c>
      <c r="G298" s="10">
        <v>0</v>
      </c>
      <c r="H298" s="10">
        <v>0</v>
      </c>
      <c r="I298" s="10">
        <v>0</v>
      </c>
      <c r="J298" t="s">
        <v>54</v>
      </c>
      <c r="K298" s="10">
        <v>8014</v>
      </c>
    </row>
    <row r="299" spans="1:11">
      <c r="A299" s="10">
        <v>5007</v>
      </c>
      <c r="B299" s="10">
        <v>5</v>
      </c>
      <c r="C299" s="10">
        <v>110</v>
      </c>
      <c r="D299" s="29">
        <v>1758.9</v>
      </c>
      <c r="E299" s="29">
        <v>560.98400000000004</v>
      </c>
      <c r="F299" s="30">
        <v>45596</v>
      </c>
      <c r="G299" s="10">
        <v>0</v>
      </c>
      <c r="H299" s="10">
        <v>0</v>
      </c>
      <c r="I299" s="10">
        <v>0</v>
      </c>
      <c r="J299" t="s">
        <v>54</v>
      </c>
      <c r="K299" s="10">
        <v>8003</v>
      </c>
    </row>
    <row r="300" spans="1:11">
      <c r="A300" s="10">
        <v>5005</v>
      </c>
      <c r="B300" s="10">
        <v>3</v>
      </c>
      <c r="C300" s="10">
        <v>195</v>
      </c>
      <c r="D300" s="29">
        <v>3406.65</v>
      </c>
      <c r="E300" s="29">
        <v>1089.3309999999999</v>
      </c>
      <c r="F300" s="30">
        <v>45777</v>
      </c>
      <c r="G300" s="10">
        <v>0</v>
      </c>
      <c r="H300" s="10">
        <v>0</v>
      </c>
      <c r="I300" s="10">
        <v>0</v>
      </c>
      <c r="J300" t="s">
        <v>54</v>
      </c>
      <c r="K300" s="10">
        <v>8017</v>
      </c>
    </row>
    <row r="301" spans="1:11">
      <c r="A301" s="10">
        <v>5002</v>
      </c>
      <c r="B301" s="10">
        <v>1</v>
      </c>
      <c r="C301" s="10">
        <v>71</v>
      </c>
      <c r="D301" s="29">
        <v>1220.49</v>
      </c>
      <c r="E301" s="29">
        <v>327.99700000000001</v>
      </c>
      <c r="F301" s="30">
        <v>45412</v>
      </c>
      <c r="G301" s="10">
        <v>0</v>
      </c>
      <c r="H301" s="10">
        <v>0</v>
      </c>
      <c r="I301" s="10">
        <v>0</v>
      </c>
      <c r="J301" t="s">
        <v>54</v>
      </c>
      <c r="K301" s="10">
        <v>8002</v>
      </c>
    </row>
    <row r="302" spans="1:11">
      <c r="A302" s="10">
        <v>5005</v>
      </c>
      <c r="B302" s="10">
        <v>3</v>
      </c>
      <c r="C302" s="10">
        <v>160</v>
      </c>
      <c r="D302" s="29">
        <v>2579.1999999999998</v>
      </c>
      <c r="E302" s="29">
        <v>784.79200000000003</v>
      </c>
      <c r="F302" s="30">
        <v>45443</v>
      </c>
      <c r="G302" s="10">
        <v>0</v>
      </c>
      <c r="H302" s="10">
        <v>0</v>
      </c>
      <c r="I302" s="10">
        <v>0</v>
      </c>
      <c r="J302" t="s">
        <v>54</v>
      </c>
      <c r="K302" s="10">
        <v>8002</v>
      </c>
    </row>
    <row r="303" spans="1:11">
      <c r="A303" s="10">
        <v>5002</v>
      </c>
      <c r="B303" s="10">
        <v>2</v>
      </c>
      <c r="C303" s="10">
        <v>-37</v>
      </c>
      <c r="D303" s="29">
        <v>-361.49</v>
      </c>
      <c r="E303" s="29">
        <v>0</v>
      </c>
      <c r="F303" s="30">
        <v>45688</v>
      </c>
      <c r="G303" s="10">
        <v>1</v>
      </c>
      <c r="H303" s="10">
        <v>1</v>
      </c>
      <c r="I303" s="10">
        <v>0</v>
      </c>
      <c r="J303" t="s">
        <v>2</v>
      </c>
      <c r="K303" s="10">
        <v>8004</v>
      </c>
    </row>
    <row r="304" spans="1:11">
      <c r="A304" s="10">
        <v>5026</v>
      </c>
      <c r="B304" s="10">
        <v>2</v>
      </c>
      <c r="C304" s="10">
        <v>191</v>
      </c>
      <c r="D304" s="29">
        <v>2106.73</v>
      </c>
      <c r="E304" s="29">
        <v>604.76199999999994</v>
      </c>
      <c r="F304" s="30">
        <v>45961</v>
      </c>
      <c r="G304" s="10">
        <v>0</v>
      </c>
      <c r="H304" s="10">
        <v>0</v>
      </c>
      <c r="I304" s="10">
        <v>0</v>
      </c>
      <c r="J304" t="s">
        <v>54</v>
      </c>
      <c r="K304" s="10">
        <v>8007</v>
      </c>
    </row>
    <row r="305" spans="1:11">
      <c r="A305" s="10">
        <v>5001</v>
      </c>
      <c r="B305" s="10">
        <v>1</v>
      </c>
      <c r="C305" s="10">
        <v>89</v>
      </c>
      <c r="D305" s="29">
        <v>1221.97</v>
      </c>
      <c r="E305" s="29">
        <v>340.81200000000001</v>
      </c>
      <c r="F305" s="30">
        <v>45412</v>
      </c>
      <c r="G305" s="10">
        <v>0</v>
      </c>
      <c r="H305" s="10">
        <v>0</v>
      </c>
      <c r="I305" s="10">
        <v>0</v>
      </c>
      <c r="J305" t="s">
        <v>54</v>
      </c>
      <c r="K305" s="10">
        <v>8014</v>
      </c>
    </row>
    <row r="306" spans="1:11">
      <c r="A306" s="10">
        <v>5014</v>
      </c>
      <c r="B306" s="10">
        <v>1</v>
      </c>
      <c r="C306" s="10">
        <v>57</v>
      </c>
      <c r="D306" s="29">
        <v>1083.57</v>
      </c>
      <c r="E306" s="29">
        <v>276.72699999999998</v>
      </c>
      <c r="F306" s="30">
        <v>45900</v>
      </c>
      <c r="G306" s="10">
        <v>0</v>
      </c>
      <c r="H306" s="10">
        <v>0</v>
      </c>
      <c r="I306" s="10">
        <v>0</v>
      </c>
      <c r="J306" t="s">
        <v>54</v>
      </c>
      <c r="K306" s="10">
        <v>8008</v>
      </c>
    </row>
    <row r="307" spans="1:11">
      <c r="A307" s="10">
        <v>5001</v>
      </c>
      <c r="B307" s="10">
        <v>2</v>
      </c>
      <c r="C307" s="10">
        <v>352</v>
      </c>
      <c r="D307" s="29">
        <v>1432.64</v>
      </c>
      <c r="E307" s="29">
        <v>509.08800000000002</v>
      </c>
      <c r="F307" s="30">
        <v>45961</v>
      </c>
      <c r="G307" s="10">
        <v>0</v>
      </c>
      <c r="H307" s="10">
        <v>0</v>
      </c>
      <c r="I307" s="10">
        <v>0</v>
      </c>
      <c r="J307" t="s">
        <v>54</v>
      </c>
      <c r="K307" s="10">
        <v>8012</v>
      </c>
    </row>
    <row r="308" spans="1:11">
      <c r="A308" s="10">
        <v>5030</v>
      </c>
      <c r="B308" s="10">
        <v>2</v>
      </c>
      <c r="C308" s="10">
        <v>216</v>
      </c>
      <c r="D308" s="29">
        <v>2494.8000000000002</v>
      </c>
      <c r="E308" s="29">
        <v>902.28</v>
      </c>
      <c r="F308" s="30">
        <v>45565</v>
      </c>
      <c r="G308" s="10">
        <v>0</v>
      </c>
      <c r="H308" s="10">
        <v>0</v>
      </c>
      <c r="I308" s="10">
        <v>0</v>
      </c>
      <c r="J308" t="s">
        <v>54</v>
      </c>
      <c r="K308" s="10">
        <v>8006</v>
      </c>
    </row>
    <row r="309" spans="1:11">
      <c r="A309" s="10">
        <v>5016</v>
      </c>
      <c r="B309" s="10">
        <v>2</v>
      </c>
      <c r="C309" s="10">
        <v>181</v>
      </c>
      <c r="D309" s="29">
        <v>2868.85</v>
      </c>
      <c r="E309" s="29">
        <v>562.87199999999996</v>
      </c>
      <c r="F309" s="30">
        <v>45535</v>
      </c>
      <c r="G309" s="10">
        <v>0</v>
      </c>
      <c r="H309" s="10">
        <v>0</v>
      </c>
      <c r="I309" s="10">
        <v>0</v>
      </c>
      <c r="J309" t="s">
        <v>54</v>
      </c>
      <c r="K309" s="10">
        <v>8009</v>
      </c>
    </row>
    <row r="310" spans="1:11">
      <c r="A310" s="10">
        <v>5003</v>
      </c>
      <c r="B310" s="10">
        <v>2</v>
      </c>
      <c r="C310" s="10">
        <v>83</v>
      </c>
      <c r="D310" s="29">
        <v>1142.08</v>
      </c>
      <c r="E310" s="29">
        <v>391.79500000000002</v>
      </c>
      <c r="F310" s="30">
        <v>45504</v>
      </c>
      <c r="G310" s="10">
        <v>0</v>
      </c>
      <c r="H310" s="10">
        <v>0</v>
      </c>
      <c r="I310" s="10">
        <v>0</v>
      </c>
      <c r="J310" t="s">
        <v>54</v>
      </c>
      <c r="K310" s="10">
        <v>8001</v>
      </c>
    </row>
    <row r="311" spans="1:11">
      <c r="A311" s="10">
        <v>5004</v>
      </c>
      <c r="B311" s="10">
        <v>6</v>
      </c>
      <c r="C311" s="10">
        <v>113</v>
      </c>
      <c r="D311" s="29">
        <v>441.83</v>
      </c>
      <c r="E311" s="29">
        <v>160.94999999999999</v>
      </c>
      <c r="F311" s="30">
        <v>45565</v>
      </c>
      <c r="G311" s="10">
        <v>0</v>
      </c>
      <c r="H311" s="10">
        <v>0</v>
      </c>
      <c r="I311" s="10">
        <v>0</v>
      </c>
      <c r="J311" t="s">
        <v>54</v>
      </c>
      <c r="K311" s="10">
        <v>8018</v>
      </c>
    </row>
    <row r="312" spans="1:11">
      <c r="A312" s="10">
        <v>5030</v>
      </c>
      <c r="B312" s="10">
        <v>1</v>
      </c>
      <c r="C312" s="10">
        <v>321</v>
      </c>
      <c r="D312" s="29">
        <v>2356.14</v>
      </c>
      <c r="E312" s="29">
        <v>884.50699999999995</v>
      </c>
      <c r="F312" s="30">
        <v>45991</v>
      </c>
      <c r="G312" s="10">
        <v>0</v>
      </c>
      <c r="H312" s="10">
        <v>0</v>
      </c>
      <c r="I312" s="10">
        <v>0</v>
      </c>
      <c r="J312" t="s">
        <v>54</v>
      </c>
      <c r="K312" s="10">
        <v>8018</v>
      </c>
    </row>
    <row r="313" spans="1:11">
      <c r="A313" s="10">
        <v>5011</v>
      </c>
      <c r="B313" s="10">
        <v>2</v>
      </c>
      <c r="C313" s="10">
        <v>80</v>
      </c>
      <c r="D313" s="29">
        <v>880</v>
      </c>
      <c r="E313" s="29">
        <v>285.774</v>
      </c>
      <c r="F313" s="30">
        <v>45930</v>
      </c>
      <c r="G313" s="10">
        <v>0</v>
      </c>
      <c r="H313" s="10">
        <v>0</v>
      </c>
      <c r="I313" s="10">
        <v>0</v>
      </c>
      <c r="J313" t="s">
        <v>54</v>
      </c>
      <c r="K313" s="10">
        <v>8007</v>
      </c>
    </row>
    <row r="314" spans="1:11">
      <c r="A314" s="10">
        <v>5002</v>
      </c>
      <c r="B314" s="10">
        <v>1</v>
      </c>
      <c r="C314" s="10">
        <v>371</v>
      </c>
      <c r="D314" s="29">
        <v>3706.29</v>
      </c>
      <c r="E314" s="29">
        <v>908.39400000000001</v>
      </c>
      <c r="F314" s="30">
        <v>45991</v>
      </c>
      <c r="G314" s="10">
        <v>0</v>
      </c>
      <c r="H314" s="10">
        <v>0</v>
      </c>
      <c r="I314" s="10">
        <v>0</v>
      </c>
      <c r="J314" t="s">
        <v>54</v>
      </c>
      <c r="K314" s="10">
        <v>8007</v>
      </c>
    </row>
    <row r="315" spans="1:11">
      <c r="A315" s="10">
        <v>5014</v>
      </c>
      <c r="B315" s="10">
        <v>3</v>
      </c>
      <c r="C315" s="10">
        <v>107</v>
      </c>
      <c r="D315" s="29">
        <v>1769.78</v>
      </c>
      <c r="E315" s="29">
        <v>312.30599999999998</v>
      </c>
      <c r="F315" s="30">
        <v>45322</v>
      </c>
      <c r="G315" s="10">
        <v>0</v>
      </c>
      <c r="H315" s="10">
        <v>0</v>
      </c>
      <c r="I315" s="10">
        <v>0</v>
      </c>
      <c r="J315" t="s">
        <v>54</v>
      </c>
      <c r="K315" s="10">
        <v>8013</v>
      </c>
    </row>
    <row r="316" spans="1:11">
      <c r="A316" s="10">
        <v>5003</v>
      </c>
      <c r="B316" s="10">
        <v>1</v>
      </c>
      <c r="C316" s="10">
        <v>87</v>
      </c>
      <c r="D316" s="29">
        <v>1756.53</v>
      </c>
      <c r="E316" s="29">
        <v>544.98599999999999</v>
      </c>
      <c r="F316" s="30">
        <v>45716</v>
      </c>
      <c r="G316" s="10">
        <v>0</v>
      </c>
      <c r="H316" s="10">
        <v>0</v>
      </c>
      <c r="I316" s="10">
        <v>0</v>
      </c>
      <c r="J316" t="s">
        <v>54</v>
      </c>
      <c r="K316" s="10">
        <v>8005</v>
      </c>
    </row>
    <row r="317" spans="1:11">
      <c r="A317" s="10">
        <v>5007</v>
      </c>
      <c r="B317" s="10">
        <v>3</v>
      </c>
      <c r="C317" s="10">
        <v>33</v>
      </c>
      <c r="D317" s="29">
        <v>132.33000000000001</v>
      </c>
      <c r="E317" s="29">
        <v>36.984999999999999</v>
      </c>
      <c r="F317" s="30">
        <v>45747</v>
      </c>
      <c r="G317" s="10">
        <v>0</v>
      </c>
      <c r="H317" s="10">
        <v>0</v>
      </c>
      <c r="I317" s="10">
        <v>0</v>
      </c>
      <c r="J317" t="s">
        <v>54</v>
      </c>
      <c r="K317" s="10">
        <v>8004</v>
      </c>
    </row>
    <row r="318" spans="1:11">
      <c r="A318" s="10">
        <v>5018</v>
      </c>
      <c r="B318" s="10">
        <v>1</v>
      </c>
      <c r="C318" s="10">
        <v>313</v>
      </c>
      <c r="D318" s="29">
        <v>1968.77</v>
      </c>
      <c r="E318" s="29">
        <v>382.52699999999999</v>
      </c>
      <c r="F318" s="30">
        <v>45443</v>
      </c>
      <c r="G318" s="10">
        <v>0</v>
      </c>
      <c r="H318" s="10">
        <v>0</v>
      </c>
      <c r="I318" s="10">
        <v>0</v>
      </c>
      <c r="J318" t="s">
        <v>54</v>
      </c>
      <c r="K318" s="10">
        <v>8006</v>
      </c>
    </row>
    <row r="319" spans="1:11">
      <c r="A319" s="10">
        <v>5003</v>
      </c>
      <c r="B319" s="10">
        <v>1</v>
      </c>
      <c r="C319" s="10">
        <v>180</v>
      </c>
      <c r="D319" s="29">
        <v>1324.8</v>
      </c>
      <c r="E319" s="29">
        <v>523.28</v>
      </c>
      <c r="F319" s="30">
        <v>45838</v>
      </c>
      <c r="G319" s="10">
        <v>0</v>
      </c>
      <c r="H319" s="10">
        <v>0</v>
      </c>
      <c r="I319" s="10">
        <v>0</v>
      </c>
      <c r="J319" t="s">
        <v>54</v>
      </c>
      <c r="K319" s="10">
        <v>8022</v>
      </c>
    </row>
    <row r="320" spans="1:11">
      <c r="A320" s="10">
        <v>5005</v>
      </c>
      <c r="B320" s="10">
        <v>3</v>
      </c>
      <c r="C320" s="10">
        <v>67</v>
      </c>
      <c r="D320" s="29">
        <v>1095.45</v>
      </c>
      <c r="E320" s="29">
        <v>175.58099999999999</v>
      </c>
      <c r="F320" s="30">
        <v>45473</v>
      </c>
      <c r="G320" s="10">
        <v>0</v>
      </c>
      <c r="H320" s="10">
        <v>0</v>
      </c>
      <c r="I320" s="10">
        <v>0</v>
      </c>
      <c r="J320" t="s">
        <v>54</v>
      </c>
      <c r="K320" s="10">
        <v>8004</v>
      </c>
    </row>
    <row r="321" spans="1:11">
      <c r="A321" s="10">
        <v>5002</v>
      </c>
      <c r="B321" s="10">
        <v>3</v>
      </c>
      <c r="C321" s="10">
        <v>19</v>
      </c>
      <c r="D321" s="29">
        <v>327.56</v>
      </c>
      <c r="E321" s="29">
        <v>136.566</v>
      </c>
      <c r="F321" s="30">
        <v>45657</v>
      </c>
      <c r="G321" s="10">
        <v>0</v>
      </c>
      <c r="H321" s="10">
        <v>0</v>
      </c>
      <c r="I321" s="10">
        <v>0</v>
      </c>
      <c r="J321" t="s">
        <v>54</v>
      </c>
      <c r="K321" s="10">
        <v>8003</v>
      </c>
    </row>
    <row r="322" spans="1:11">
      <c r="A322" s="10">
        <v>5002</v>
      </c>
      <c r="B322" s="10">
        <v>2</v>
      </c>
      <c r="C322" s="10">
        <v>234</v>
      </c>
      <c r="D322" s="29">
        <v>952.38</v>
      </c>
      <c r="E322" s="29">
        <v>370.53</v>
      </c>
      <c r="F322" s="30">
        <v>45626</v>
      </c>
      <c r="G322" s="10">
        <v>0</v>
      </c>
      <c r="H322" s="10">
        <v>0</v>
      </c>
      <c r="I322" s="10">
        <v>0</v>
      </c>
      <c r="J322" t="s">
        <v>54</v>
      </c>
      <c r="K322" s="10">
        <v>8001</v>
      </c>
    </row>
    <row r="323" spans="1:11">
      <c r="A323" s="10">
        <v>5014</v>
      </c>
      <c r="B323" s="10">
        <v>1</v>
      </c>
      <c r="C323" s="10">
        <v>355</v>
      </c>
      <c r="D323" s="29">
        <v>1764.35</v>
      </c>
      <c r="E323" s="29">
        <v>286.18400000000003</v>
      </c>
      <c r="F323" s="30">
        <v>45443</v>
      </c>
      <c r="G323" s="10">
        <v>0</v>
      </c>
      <c r="H323" s="10">
        <v>0</v>
      </c>
      <c r="I323" s="10">
        <v>0</v>
      </c>
      <c r="J323" t="s">
        <v>54</v>
      </c>
      <c r="K323" s="10">
        <v>8014</v>
      </c>
    </row>
    <row r="324" spans="1:11">
      <c r="A324" s="10">
        <v>5006</v>
      </c>
      <c r="B324" s="10">
        <v>3</v>
      </c>
      <c r="C324" s="10">
        <v>54</v>
      </c>
      <c r="D324" s="29">
        <v>590.76</v>
      </c>
      <c r="E324" s="29">
        <v>226.61</v>
      </c>
      <c r="F324" s="30">
        <v>45838</v>
      </c>
      <c r="G324" s="10">
        <v>0</v>
      </c>
      <c r="H324" s="10">
        <v>0</v>
      </c>
      <c r="I324" s="10">
        <v>0</v>
      </c>
      <c r="J324" t="s">
        <v>54</v>
      </c>
      <c r="K324" s="10">
        <v>8012</v>
      </c>
    </row>
    <row r="325" spans="1:11">
      <c r="A325" s="10">
        <v>5002</v>
      </c>
      <c r="B325" s="10">
        <v>3</v>
      </c>
      <c r="C325" s="10">
        <v>93</v>
      </c>
      <c r="D325" s="29">
        <v>2155.7399999999998</v>
      </c>
      <c r="E325" s="29">
        <v>423.29199999999997</v>
      </c>
      <c r="F325" s="30">
        <v>45412</v>
      </c>
      <c r="G325" s="10">
        <v>0</v>
      </c>
      <c r="H325" s="10">
        <v>0</v>
      </c>
      <c r="I325" s="10">
        <v>0</v>
      </c>
      <c r="J325" t="s">
        <v>54</v>
      </c>
      <c r="K325" s="10">
        <v>8014</v>
      </c>
    </row>
    <row r="326" spans="1:11">
      <c r="A326" s="10">
        <v>5002</v>
      </c>
      <c r="B326" s="10">
        <v>3</v>
      </c>
      <c r="C326" s="10">
        <v>139</v>
      </c>
      <c r="D326" s="29">
        <v>2653.51</v>
      </c>
      <c r="E326" s="29">
        <v>1009.533</v>
      </c>
      <c r="F326" s="30">
        <v>45565</v>
      </c>
      <c r="G326" s="10">
        <v>0</v>
      </c>
      <c r="H326" s="10">
        <v>0</v>
      </c>
      <c r="I326" s="10">
        <v>0</v>
      </c>
      <c r="J326" t="s">
        <v>54</v>
      </c>
      <c r="K326" s="10">
        <v>8008</v>
      </c>
    </row>
    <row r="327" spans="1:11">
      <c r="A327" s="10">
        <v>5004</v>
      </c>
      <c r="B327" s="10">
        <v>2</v>
      </c>
      <c r="C327" s="10">
        <v>-192</v>
      </c>
      <c r="D327" s="29">
        <v>-1605.12</v>
      </c>
      <c r="E327" s="29">
        <v>-278.00799999999998</v>
      </c>
      <c r="F327" s="30">
        <v>45838</v>
      </c>
      <c r="G327" s="10">
        <v>1</v>
      </c>
      <c r="H327" s="10">
        <v>1</v>
      </c>
      <c r="I327" s="10">
        <v>0</v>
      </c>
      <c r="J327" t="s">
        <v>2</v>
      </c>
      <c r="K327" s="10">
        <v>8007</v>
      </c>
    </row>
    <row r="328" spans="1:11">
      <c r="A328" s="10">
        <v>5002</v>
      </c>
      <c r="B328" s="10">
        <v>3</v>
      </c>
      <c r="C328" s="10">
        <v>122</v>
      </c>
      <c r="D328" s="29">
        <v>2867</v>
      </c>
      <c r="E328" s="29">
        <v>1154.886</v>
      </c>
      <c r="F328" s="30">
        <v>45688</v>
      </c>
      <c r="G328" s="10">
        <v>0</v>
      </c>
      <c r="H328" s="10">
        <v>0</v>
      </c>
      <c r="I328" s="10">
        <v>0</v>
      </c>
      <c r="J328" t="s">
        <v>54</v>
      </c>
      <c r="K328" s="10">
        <v>8007</v>
      </c>
    </row>
    <row r="329" spans="1:11">
      <c r="A329" s="10">
        <v>5018</v>
      </c>
      <c r="B329" s="10">
        <v>2</v>
      </c>
      <c r="C329" s="10">
        <v>173</v>
      </c>
      <c r="D329" s="29">
        <v>3240.29</v>
      </c>
      <c r="E329" s="29">
        <v>1167.462</v>
      </c>
      <c r="F329" s="30">
        <v>45443</v>
      </c>
      <c r="G329" s="10">
        <v>0</v>
      </c>
      <c r="H329" s="10">
        <v>0</v>
      </c>
      <c r="I329" s="10">
        <v>0</v>
      </c>
      <c r="J329" t="s">
        <v>54</v>
      </c>
      <c r="K329" s="10">
        <v>8008</v>
      </c>
    </row>
    <row r="330" spans="1:11">
      <c r="A330" s="10">
        <v>5001</v>
      </c>
      <c r="B330" s="10">
        <v>1</v>
      </c>
      <c r="C330" s="10">
        <v>43</v>
      </c>
      <c r="D330" s="29">
        <v>830.76</v>
      </c>
      <c r="E330" s="29">
        <v>268.69099999999997</v>
      </c>
      <c r="F330" s="30">
        <v>45322</v>
      </c>
      <c r="G330" s="10">
        <v>0</v>
      </c>
      <c r="H330" s="10">
        <v>0</v>
      </c>
      <c r="I330" s="10">
        <v>0</v>
      </c>
      <c r="J330" t="s">
        <v>54</v>
      </c>
      <c r="K330" s="10">
        <v>8003</v>
      </c>
    </row>
    <row r="331" spans="1:11">
      <c r="A331" s="10">
        <v>5006</v>
      </c>
      <c r="B331" s="10">
        <v>1</v>
      </c>
      <c r="C331" s="10">
        <v>148</v>
      </c>
      <c r="D331" s="29">
        <v>2291.04</v>
      </c>
      <c r="E331" s="29">
        <v>551.16899999999998</v>
      </c>
      <c r="F331" s="30">
        <v>45688</v>
      </c>
      <c r="G331" s="10">
        <v>0</v>
      </c>
      <c r="H331" s="10">
        <v>0</v>
      </c>
      <c r="I331" s="10">
        <v>0</v>
      </c>
      <c r="J331" t="s">
        <v>54</v>
      </c>
      <c r="K331" s="10">
        <v>8012</v>
      </c>
    </row>
    <row r="332" spans="1:11">
      <c r="A332" s="10">
        <v>5003</v>
      </c>
      <c r="B332" s="10">
        <v>2</v>
      </c>
      <c r="C332" s="10">
        <v>104</v>
      </c>
      <c r="D332" s="29">
        <v>1651.52</v>
      </c>
      <c r="E332" s="29">
        <v>556.68499999999995</v>
      </c>
      <c r="F332" s="30">
        <v>45716</v>
      </c>
      <c r="G332" s="10">
        <v>0</v>
      </c>
      <c r="H332" s="10">
        <v>0</v>
      </c>
      <c r="I332" s="10">
        <v>0</v>
      </c>
      <c r="J332" t="s">
        <v>54</v>
      </c>
      <c r="K332" s="10">
        <v>8016</v>
      </c>
    </row>
    <row r="333" spans="1:11">
      <c r="A333" s="10">
        <v>5012</v>
      </c>
      <c r="B333" s="10">
        <v>4</v>
      </c>
      <c r="C333" s="10">
        <v>32</v>
      </c>
      <c r="D333" s="29">
        <v>118.72</v>
      </c>
      <c r="E333" s="29">
        <v>32.99</v>
      </c>
      <c r="F333" s="30">
        <v>45382</v>
      </c>
      <c r="G333" s="10">
        <v>0</v>
      </c>
      <c r="H333" s="10">
        <v>0</v>
      </c>
      <c r="I333" s="10">
        <v>0</v>
      </c>
      <c r="J333" t="s">
        <v>54</v>
      </c>
      <c r="K333" s="10">
        <v>8013</v>
      </c>
    </row>
    <row r="334" spans="1:11">
      <c r="A334" s="10">
        <v>5004</v>
      </c>
      <c r="B334" s="10">
        <v>4</v>
      </c>
      <c r="C334" s="10">
        <v>45</v>
      </c>
      <c r="D334" s="29">
        <v>788.4</v>
      </c>
      <c r="E334" s="29">
        <v>159.727</v>
      </c>
      <c r="F334" s="30">
        <v>45808</v>
      </c>
      <c r="G334" s="10">
        <v>0</v>
      </c>
      <c r="H334" s="10">
        <v>0</v>
      </c>
      <c r="I334" s="10">
        <v>0</v>
      </c>
      <c r="J334" t="s">
        <v>54</v>
      </c>
      <c r="K334" s="10">
        <v>8013</v>
      </c>
    </row>
    <row r="335" spans="1:11">
      <c r="A335" s="10">
        <v>5008</v>
      </c>
      <c r="B335" s="10">
        <v>3</v>
      </c>
      <c r="C335" s="10">
        <v>62</v>
      </c>
      <c r="D335" s="29">
        <v>286.44</v>
      </c>
      <c r="E335" s="29">
        <v>65.846000000000004</v>
      </c>
      <c r="F335" s="30">
        <v>46022</v>
      </c>
      <c r="G335" s="10">
        <v>0</v>
      </c>
      <c r="H335" s="10">
        <v>0</v>
      </c>
      <c r="I335" s="10">
        <v>0</v>
      </c>
      <c r="J335" t="s">
        <v>54</v>
      </c>
      <c r="K335" s="10">
        <v>8015</v>
      </c>
    </row>
    <row r="336" spans="1:11">
      <c r="A336" s="10">
        <v>5014</v>
      </c>
      <c r="B336" s="10">
        <v>4</v>
      </c>
      <c r="C336" s="10">
        <v>85</v>
      </c>
      <c r="D336" s="29">
        <v>273.7</v>
      </c>
      <c r="E336" s="29">
        <v>84.828000000000003</v>
      </c>
      <c r="F336" s="30">
        <v>45991</v>
      </c>
      <c r="G336" s="10">
        <v>0</v>
      </c>
      <c r="H336" s="10">
        <v>0</v>
      </c>
      <c r="I336" s="10">
        <v>0</v>
      </c>
      <c r="J336" t="s">
        <v>54</v>
      </c>
      <c r="K336" s="10">
        <v>8001</v>
      </c>
    </row>
    <row r="337" spans="1:11">
      <c r="A337" s="10">
        <v>5007</v>
      </c>
      <c r="B337" s="10">
        <v>2</v>
      </c>
      <c r="C337" s="10">
        <v>143</v>
      </c>
      <c r="D337" s="29">
        <v>1424.28</v>
      </c>
      <c r="E337" s="29">
        <v>265.99200000000002</v>
      </c>
      <c r="F337" s="30">
        <v>45382</v>
      </c>
      <c r="G337" s="10">
        <v>0</v>
      </c>
      <c r="H337" s="10">
        <v>0</v>
      </c>
      <c r="I337" s="10">
        <v>0</v>
      </c>
      <c r="J337" t="s">
        <v>54</v>
      </c>
      <c r="K337" s="10">
        <v>8004</v>
      </c>
    </row>
    <row r="338" spans="1:11">
      <c r="A338" s="10">
        <v>5012</v>
      </c>
      <c r="B338" s="10">
        <v>2</v>
      </c>
      <c r="C338" s="10">
        <v>34</v>
      </c>
      <c r="D338" s="29">
        <v>712.64</v>
      </c>
      <c r="E338" s="29">
        <v>201.434</v>
      </c>
      <c r="F338" s="30">
        <v>45777</v>
      </c>
      <c r="G338" s="10">
        <v>0</v>
      </c>
      <c r="H338" s="10">
        <v>0</v>
      </c>
      <c r="I338" s="10">
        <v>0</v>
      </c>
      <c r="J338" t="s">
        <v>54</v>
      </c>
      <c r="K338" s="10">
        <v>8003</v>
      </c>
    </row>
    <row r="339" spans="1:11">
      <c r="A339" s="10">
        <v>5002</v>
      </c>
      <c r="B339" s="10">
        <v>4</v>
      </c>
      <c r="C339" s="10">
        <v>146</v>
      </c>
      <c r="D339" s="29">
        <v>3225.14</v>
      </c>
      <c r="E339" s="29">
        <v>867.67899999999997</v>
      </c>
      <c r="F339" s="30">
        <v>45626</v>
      </c>
      <c r="G339" s="10">
        <v>0</v>
      </c>
      <c r="H339" s="10">
        <v>0</v>
      </c>
      <c r="I339" s="10">
        <v>0</v>
      </c>
      <c r="J339" t="s">
        <v>54</v>
      </c>
      <c r="K339" s="10">
        <v>8022</v>
      </c>
    </row>
    <row r="340" spans="1:11">
      <c r="A340" s="10">
        <v>5006</v>
      </c>
      <c r="B340" s="10">
        <v>1</v>
      </c>
      <c r="C340" s="10">
        <v>53</v>
      </c>
      <c r="D340" s="29">
        <v>534.24</v>
      </c>
      <c r="E340" s="29">
        <v>210.76</v>
      </c>
      <c r="F340" s="30">
        <v>45596</v>
      </c>
      <c r="G340" s="10">
        <v>0</v>
      </c>
      <c r="H340" s="10">
        <v>0</v>
      </c>
      <c r="I340" s="10">
        <v>0</v>
      </c>
      <c r="J340" t="s">
        <v>54</v>
      </c>
      <c r="K340" s="10">
        <v>8012</v>
      </c>
    </row>
    <row r="341" spans="1:11">
      <c r="A341" s="10">
        <v>5016</v>
      </c>
      <c r="B341" s="10">
        <v>6</v>
      </c>
      <c r="C341" s="10">
        <v>27</v>
      </c>
      <c r="D341" s="29">
        <v>327.51</v>
      </c>
      <c r="E341" s="29">
        <v>124.342</v>
      </c>
      <c r="F341" s="30">
        <v>45473</v>
      </c>
      <c r="G341" s="10">
        <v>0</v>
      </c>
      <c r="H341" s="10">
        <v>0</v>
      </c>
      <c r="I341" s="10">
        <v>0</v>
      </c>
      <c r="J341" t="s">
        <v>54</v>
      </c>
      <c r="K341" s="10">
        <v>8028</v>
      </c>
    </row>
    <row r="342" spans="1:11">
      <c r="A342" s="10">
        <v>5009</v>
      </c>
      <c r="B342" s="10">
        <v>1</v>
      </c>
      <c r="C342" s="10">
        <v>171</v>
      </c>
      <c r="D342" s="29">
        <v>1462.05</v>
      </c>
      <c r="E342" s="29">
        <v>410.28199999999998</v>
      </c>
      <c r="F342" s="30">
        <v>45596</v>
      </c>
      <c r="G342" s="10">
        <v>0</v>
      </c>
      <c r="H342" s="10">
        <v>0</v>
      </c>
      <c r="I342" s="10">
        <v>0</v>
      </c>
      <c r="J342" t="s">
        <v>54</v>
      </c>
      <c r="K342" s="10">
        <v>8001</v>
      </c>
    </row>
    <row r="343" spans="1:11">
      <c r="A343" s="10">
        <v>5008</v>
      </c>
      <c r="B343" s="10">
        <v>1</v>
      </c>
      <c r="C343" s="10">
        <v>275</v>
      </c>
      <c r="D343" s="29">
        <v>5137</v>
      </c>
      <c r="E343" s="29">
        <v>830.43799999999999</v>
      </c>
      <c r="F343" s="30">
        <v>45777</v>
      </c>
      <c r="G343" s="10">
        <v>0</v>
      </c>
      <c r="H343" s="10">
        <v>0</v>
      </c>
      <c r="I343" s="10">
        <v>0</v>
      </c>
      <c r="J343" t="s">
        <v>54</v>
      </c>
      <c r="K343" s="10">
        <v>8014</v>
      </c>
    </row>
    <row r="344" spans="1:11">
      <c r="A344" s="10">
        <v>5003</v>
      </c>
      <c r="B344" s="10">
        <v>4</v>
      </c>
      <c r="C344" s="10">
        <v>-252</v>
      </c>
      <c r="D344" s="29">
        <v>-5773.32</v>
      </c>
      <c r="E344" s="29">
        <v>0</v>
      </c>
      <c r="F344" s="30">
        <v>45626</v>
      </c>
      <c r="G344" s="10">
        <v>1</v>
      </c>
      <c r="H344" s="10">
        <v>1</v>
      </c>
      <c r="I344" s="10">
        <v>0</v>
      </c>
      <c r="J344" t="s">
        <v>2</v>
      </c>
      <c r="K344" s="10">
        <v>8004</v>
      </c>
    </row>
    <row r="345" spans="1:11">
      <c r="A345" s="10">
        <v>5012</v>
      </c>
      <c r="B345" s="10">
        <v>2</v>
      </c>
      <c r="C345" s="10">
        <v>-93</v>
      </c>
      <c r="D345" s="29">
        <v>-1182.96</v>
      </c>
      <c r="E345" s="29">
        <v>-161.767</v>
      </c>
      <c r="F345" s="30">
        <v>45991</v>
      </c>
      <c r="G345" s="10">
        <v>1</v>
      </c>
      <c r="H345" s="10">
        <v>1</v>
      </c>
      <c r="I345" s="10">
        <v>0</v>
      </c>
      <c r="J345" t="s">
        <v>2</v>
      </c>
      <c r="K345" s="10">
        <v>8002</v>
      </c>
    </row>
    <row r="346" spans="1:11">
      <c r="A346" s="10">
        <v>5021</v>
      </c>
      <c r="B346" s="10">
        <v>2</v>
      </c>
      <c r="C346" s="10">
        <v>178</v>
      </c>
      <c r="D346" s="29">
        <v>1792.46</v>
      </c>
      <c r="E346" s="29">
        <v>326.36099999999999</v>
      </c>
      <c r="F346" s="30">
        <v>45412</v>
      </c>
      <c r="G346" s="10">
        <v>0</v>
      </c>
      <c r="H346" s="10">
        <v>0</v>
      </c>
      <c r="I346" s="10">
        <v>0</v>
      </c>
      <c r="J346" t="s">
        <v>54</v>
      </c>
      <c r="K346" s="10">
        <v>8020</v>
      </c>
    </row>
    <row r="347" spans="1:11">
      <c r="A347" s="10">
        <v>5002</v>
      </c>
      <c r="B347" s="10">
        <v>1</v>
      </c>
      <c r="C347" s="10">
        <v>156</v>
      </c>
      <c r="D347" s="29">
        <v>1787.76</v>
      </c>
      <c r="E347" s="29">
        <v>396.09699999999998</v>
      </c>
      <c r="F347" s="30">
        <v>45412</v>
      </c>
      <c r="G347" s="10">
        <v>0</v>
      </c>
      <c r="H347" s="10">
        <v>0</v>
      </c>
      <c r="I347" s="10">
        <v>0</v>
      </c>
      <c r="J347" t="s">
        <v>54</v>
      </c>
      <c r="K347" s="10">
        <v>8016</v>
      </c>
    </row>
    <row r="348" spans="1:11">
      <c r="A348" s="10">
        <v>5004</v>
      </c>
      <c r="B348" s="10">
        <v>3</v>
      </c>
      <c r="C348" s="10">
        <v>171</v>
      </c>
      <c r="D348" s="29">
        <v>1515.06</v>
      </c>
      <c r="E348" s="29">
        <v>271.83</v>
      </c>
      <c r="F348" s="30">
        <v>45565</v>
      </c>
      <c r="G348" s="10">
        <v>0</v>
      </c>
      <c r="H348" s="10">
        <v>0</v>
      </c>
      <c r="I348" s="10">
        <v>0</v>
      </c>
      <c r="J348" t="s">
        <v>54</v>
      </c>
      <c r="K348" s="10">
        <v>8016</v>
      </c>
    </row>
    <row r="349" spans="1:11">
      <c r="A349" s="10">
        <v>5015</v>
      </c>
      <c r="B349" s="10">
        <v>1</v>
      </c>
      <c r="C349" s="10">
        <v>67</v>
      </c>
      <c r="D349" s="29">
        <v>814.05</v>
      </c>
      <c r="E349" s="29">
        <v>243.678</v>
      </c>
      <c r="F349" s="30">
        <v>45504</v>
      </c>
      <c r="G349" s="10">
        <v>0</v>
      </c>
      <c r="H349" s="10">
        <v>0</v>
      </c>
      <c r="I349" s="10">
        <v>0</v>
      </c>
      <c r="J349" t="s">
        <v>54</v>
      </c>
      <c r="K349" s="10">
        <v>8009</v>
      </c>
    </row>
    <row r="350" spans="1:11">
      <c r="A350" s="10">
        <v>5003</v>
      </c>
      <c r="B350" s="10">
        <v>1</v>
      </c>
      <c r="C350" s="10">
        <v>64</v>
      </c>
      <c r="D350" s="29">
        <v>339.2</v>
      </c>
      <c r="E350" s="29">
        <v>127.15300000000001</v>
      </c>
      <c r="F350" s="30">
        <v>46022</v>
      </c>
      <c r="G350" s="10">
        <v>0</v>
      </c>
      <c r="H350" s="10">
        <v>0</v>
      </c>
      <c r="I350" s="10">
        <v>0</v>
      </c>
      <c r="J350" t="s">
        <v>54</v>
      </c>
      <c r="K350" s="10">
        <v>8004</v>
      </c>
    </row>
    <row r="351" spans="1:11">
      <c r="A351" s="10">
        <v>5001</v>
      </c>
      <c r="B351" s="10">
        <v>1</v>
      </c>
      <c r="C351" s="10">
        <v>51</v>
      </c>
      <c r="D351" s="29">
        <v>372.81</v>
      </c>
      <c r="E351" s="29">
        <v>109.42</v>
      </c>
      <c r="F351" s="30">
        <v>45869</v>
      </c>
      <c r="G351" s="10">
        <v>0</v>
      </c>
      <c r="H351" s="10">
        <v>0</v>
      </c>
      <c r="I351" s="10">
        <v>0</v>
      </c>
      <c r="J351" t="s">
        <v>54</v>
      </c>
      <c r="K351" s="10">
        <v>8017</v>
      </c>
    </row>
    <row r="352" spans="1:11">
      <c r="A352" s="10">
        <v>5004</v>
      </c>
      <c r="B352" s="10">
        <v>1</v>
      </c>
      <c r="C352" s="10">
        <v>116</v>
      </c>
      <c r="D352" s="29">
        <v>1373.44</v>
      </c>
      <c r="E352" s="29">
        <v>308.971</v>
      </c>
      <c r="F352" s="30">
        <v>45838</v>
      </c>
      <c r="G352" s="10">
        <v>0</v>
      </c>
      <c r="H352" s="10">
        <v>0</v>
      </c>
      <c r="I352" s="10">
        <v>0</v>
      </c>
      <c r="J352" t="s">
        <v>54</v>
      </c>
      <c r="K352" s="10">
        <v>8029</v>
      </c>
    </row>
    <row r="353" spans="1:11">
      <c r="A353" s="10">
        <v>5016</v>
      </c>
      <c r="B353" s="10">
        <v>1</v>
      </c>
      <c r="C353" s="10">
        <v>265</v>
      </c>
      <c r="D353" s="29">
        <v>6256.65</v>
      </c>
      <c r="E353" s="29">
        <v>2340.9569999999999</v>
      </c>
      <c r="F353" s="30">
        <v>45657</v>
      </c>
      <c r="G353" s="10">
        <v>0</v>
      </c>
      <c r="H353" s="10">
        <v>0</v>
      </c>
      <c r="I353" s="10">
        <v>0</v>
      </c>
      <c r="J353" t="s">
        <v>54</v>
      </c>
      <c r="K353" s="10">
        <v>8002</v>
      </c>
    </row>
    <row r="354" spans="1:11">
      <c r="A354" s="10">
        <v>5010</v>
      </c>
      <c r="B354" s="10">
        <v>3</v>
      </c>
      <c r="C354" s="10">
        <v>-89</v>
      </c>
      <c r="D354" s="29">
        <v>-1765.76</v>
      </c>
      <c r="E354" s="29">
        <v>0</v>
      </c>
      <c r="F354" s="30">
        <v>45626</v>
      </c>
      <c r="G354" s="10">
        <v>1</v>
      </c>
      <c r="H354" s="10">
        <v>1</v>
      </c>
      <c r="I354" s="10">
        <v>0</v>
      </c>
      <c r="J354" t="s">
        <v>2</v>
      </c>
      <c r="K354" s="10">
        <v>8010</v>
      </c>
    </row>
    <row r="355" spans="1:11">
      <c r="A355" s="10">
        <v>5006</v>
      </c>
      <c r="B355" s="10">
        <v>5</v>
      </c>
      <c r="C355" s="10">
        <v>-206</v>
      </c>
      <c r="D355" s="29">
        <v>-1886.96</v>
      </c>
      <c r="E355" s="29">
        <v>0</v>
      </c>
      <c r="F355" s="30">
        <v>45991</v>
      </c>
      <c r="G355" s="10">
        <v>1</v>
      </c>
      <c r="H355" s="10">
        <v>1</v>
      </c>
      <c r="I355" s="10">
        <v>0</v>
      </c>
      <c r="J355" t="s">
        <v>2</v>
      </c>
      <c r="K355" s="10">
        <v>8002</v>
      </c>
    </row>
    <row r="356" spans="1:11">
      <c r="A356" s="10">
        <v>5009</v>
      </c>
      <c r="B356" s="10">
        <v>2</v>
      </c>
      <c r="C356" s="10">
        <v>29</v>
      </c>
      <c r="D356" s="29">
        <v>492.13</v>
      </c>
      <c r="E356" s="29">
        <v>106.215</v>
      </c>
      <c r="F356" s="30">
        <v>45473</v>
      </c>
      <c r="G356" s="10">
        <v>0</v>
      </c>
      <c r="H356" s="10">
        <v>0</v>
      </c>
      <c r="I356" s="10">
        <v>0</v>
      </c>
      <c r="J356" t="s">
        <v>54</v>
      </c>
      <c r="K356" s="10">
        <v>8016</v>
      </c>
    </row>
    <row r="357" spans="1:11">
      <c r="A357" s="10">
        <v>5004</v>
      </c>
      <c r="B357" s="10">
        <v>1</v>
      </c>
      <c r="C357" s="10">
        <v>170</v>
      </c>
      <c r="D357" s="29">
        <v>1234.2</v>
      </c>
      <c r="E357" s="29">
        <v>329.67700000000002</v>
      </c>
      <c r="F357" s="30">
        <v>45473</v>
      </c>
      <c r="G357" s="10">
        <v>0</v>
      </c>
      <c r="H357" s="10">
        <v>0</v>
      </c>
      <c r="I357" s="10">
        <v>0</v>
      </c>
      <c r="J357" t="s">
        <v>54</v>
      </c>
      <c r="K357" s="10">
        <v>8019</v>
      </c>
    </row>
    <row r="358" spans="1:11">
      <c r="A358" s="10">
        <v>5001</v>
      </c>
      <c r="B358" s="10">
        <v>1</v>
      </c>
      <c r="C358" s="10">
        <v>74</v>
      </c>
      <c r="D358" s="29">
        <v>1586.56</v>
      </c>
      <c r="E358" s="29">
        <v>514.03899999999999</v>
      </c>
      <c r="F358" s="30">
        <v>45747</v>
      </c>
      <c r="G358" s="10">
        <v>0</v>
      </c>
      <c r="H358" s="10">
        <v>0</v>
      </c>
      <c r="I358" s="10">
        <v>0</v>
      </c>
      <c r="J358" t="s">
        <v>54</v>
      </c>
      <c r="K358" s="10">
        <v>8003</v>
      </c>
    </row>
    <row r="359" spans="1:11">
      <c r="A359" s="10">
        <v>5015</v>
      </c>
      <c r="B359" s="10">
        <v>4</v>
      </c>
      <c r="C359" s="10">
        <v>90</v>
      </c>
      <c r="D359" s="29">
        <v>1250.0999999999999</v>
      </c>
      <c r="E359" s="29">
        <v>496.66</v>
      </c>
      <c r="F359" s="30">
        <v>45961</v>
      </c>
      <c r="G359" s="10">
        <v>0</v>
      </c>
      <c r="H359" s="10">
        <v>0</v>
      </c>
      <c r="I359" s="10">
        <v>0</v>
      </c>
      <c r="J359" t="s">
        <v>54</v>
      </c>
      <c r="K359" s="10">
        <v>8029</v>
      </c>
    </row>
    <row r="360" spans="1:11">
      <c r="A360" s="10">
        <v>5005</v>
      </c>
      <c r="B360" s="10">
        <v>1</v>
      </c>
      <c r="C360" s="10">
        <v>78</v>
      </c>
      <c r="D360" s="29">
        <v>1691.82</v>
      </c>
      <c r="E360" s="29">
        <v>296.464</v>
      </c>
      <c r="F360" s="30">
        <v>45688</v>
      </c>
      <c r="G360" s="10">
        <v>0</v>
      </c>
      <c r="H360" s="10">
        <v>0</v>
      </c>
      <c r="I360" s="10">
        <v>0</v>
      </c>
      <c r="J360" t="s">
        <v>54</v>
      </c>
      <c r="K360" s="10">
        <v>8002</v>
      </c>
    </row>
    <row r="361" spans="1:11">
      <c r="A361" s="10">
        <v>5008</v>
      </c>
      <c r="B361" s="10">
        <v>6</v>
      </c>
      <c r="C361" s="10">
        <v>217</v>
      </c>
      <c r="D361" s="29">
        <v>872.34</v>
      </c>
      <c r="E361" s="29">
        <v>200.02500000000001</v>
      </c>
      <c r="F361" s="30">
        <v>46022</v>
      </c>
      <c r="G361" s="10">
        <v>0</v>
      </c>
      <c r="H361" s="10">
        <v>0</v>
      </c>
      <c r="I361" s="10">
        <v>0</v>
      </c>
      <c r="J361" t="s">
        <v>54</v>
      </c>
      <c r="K361" s="10">
        <v>8014</v>
      </c>
    </row>
    <row r="362" spans="1:11">
      <c r="A362" s="10">
        <v>5020</v>
      </c>
      <c r="B362" s="10">
        <v>6</v>
      </c>
      <c r="C362" s="10">
        <v>51</v>
      </c>
      <c r="D362" s="29">
        <v>1050.0899999999999</v>
      </c>
      <c r="E362" s="29">
        <v>264.88400000000001</v>
      </c>
      <c r="F362" s="30">
        <v>45961</v>
      </c>
      <c r="G362" s="10">
        <v>0</v>
      </c>
      <c r="H362" s="10">
        <v>0</v>
      </c>
      <c r="I362" s="10">
        <v>0</v>
      </c>
      <c r="J362" t="s">
        <v>54</v>
      </c>
      <c r="K362" s="10">
        <v>8001</v>
      </c>
    </row>
    <row r="363" spans="1:11">
      <c r="A363" s="10">
        <v>5017</v>
      </c>
      <c r="B363" s="10">
        <v>3</v>
      </c>
      <c r="C363" s="10">
        <v>212</v>
      </c>
      <c r="D363" s="29">
        <v>3665.48</v>
      </c>
      <c r="E363" s="29">
        <v>613.35799999999995</v>
      </c>
      <c r="F363" s="30">
        <v>45961</v>
      </c>
      <c r="G363" s="10">
        <v>0</v>
      </c>
      <c r="H363" s="10">
        <v>0</v>
      </c>
      <c r="I363" s="10">
        <v>0</v>
      </c>
      <c r="J363" t="s">
        <v>54</v>
      </c>
      <c r="K363" s="10">
        <v>8002</v>
      </c>
    </row>
    <row r="364" spans="1:11">
      <c r="A364" s="10">
        <v>5024</v>
      </c>
      <c r="B364" s="10">
        <v>2</v>
      </c>
      <c r="C364" s="10">
        <v>66</v>
      </c>
      <c r="D364" s="29">
        <v>1566.18</v>
      </c>
      <c r="E364" s="29">
        <v>451.02699999999999</v>
      </c>
      <c r="F364" s="30">
        <v>45869</v>
      </c>
      <c r="G364" s="10">
        <v>0</v>
      </c>
      <c r="H364" s="10">
        <v>0</v>
      </c>
      <c r="I364" s="10">
        <v>0</v>
      </c>
      <c r="J364" t="s">
        <v>54</v>
      </c>
      <c r="K364" s="10">
        <v>8008</v>
      </c>
    </row>
    <row r="365" spans="1:11">
      <c r="A365" s="10">
        <v>5007</v>
      </c>
      <c r="B365" s="10">
        <v>1</v>
      </c>
      <c r="C365" s="10">
        <v>-85</v>
      </c>
      <c r="D365" s="29">
        <v>-1146.6500000000001</v>
      </c>
      <c r="E365" s="29">
        <v>-69.051000000000002</v>
      </c>
      <c r="F365" s="30">
        <v>45596</v>
      </c>
      <c r="G365" s="10">
        <v>1</v>
      </c>
      <c r="H365" s="10">
        <v>1</v>
      </c>
      <c r="I365" s="10">
        <v>0</v>
      </c>
      <c r="J365" t="s">
        <v>2</v>
      </c>
      <c r="K365" s="10">
        <v>8001</v>
      </c>
    </row>
    <row r="366" spans="1:11">
      <c r="A366" s="10">
        <v>5012</v>
      </c>
      <c r="B366" s="10">
        <v>4</v>
      </c>
      <c r="C366" s="10">
        <v>76</v>
      </c>
      <c r="D366" s="29">
        <v>174.04</v>
      </c>
      <c r="E366" s="29">
        <v>69.350999999999999</v>
      </c>
      <c r="F366" s="30">
        <v>45443</v>
      </c>
      <c r="G366" s="10">
        <v>0</v>
      </c>
      <c r="H366" s="10">
        <v>0</v>
      </c>
      <c r="I366" s="10">
        <v>0</v>
      </c>
      <c r="J366" t="s">
        <v>54</v>
      </c>
      <c r="K366" s="10">
        <v>8020</v>
      </c>
    </row>
    <row r="367" spans="1:11">
      <c r="A367" s="10">
        <v>5017</v>
      </c>
      <c r="B367" s="10">
        <v>6</v>
      </c>
      <c r="C367" s="10">
        <v>66</v>
      </c>
      <c r="D367" s="29">
        <v>1498.86</v>
      </c>
      <c r="E367" s="29">
        <v>279.19</v>
      </c>
      <c r="F367" s="30">
        <v>45930</v>
      </c>
      <c r="G367" s="10">
        <v>0</v>
      </c>
      <c r="H367" s="10">
        <v>0</v>
      </c>
      <c r="I367" s="10">
        <v>0</v>
      </c>
      <c r="J367" t="s">
        <v>54</v>
      </c>
      <c r="K367" s="10">
        <v>8018</v>
      </c>
    </row>
    <row r="368" spans="1:11">
      <c r="A368" s="10">
        <v>5002</v>
      </c>
      <c r="B368" s="10">
        <v>6</v>
      </c>
      <c r="C368" s="10">
        <v>149</v>
      </c>
      <c r="D368" s="29">
        <v>3446.37</v>
      </c>
      <c r="E368" s="29">
        <v>707.51499999999999</v>
      </c>
      <c r="F368" s="30">
        <v>45596</v>
      </c>
      <c r="G368" s="10">
        <v>0</v>
      </c>
      <c r="H368" s="10">
        <v>0</v>
      </c>
      <c r="I368" s="10">
        <v>0</v>
      </c>
      <c r="J368" t="s">
        <v>54</v>
      </c>
      <c r="K368" s="10">
        <v>8002</v>
      </c>
    </row>
    <row r="369" spans="1:11">
      <c r="A369" s="10">
        <v>5012</v>
      </c>
      <c r="B369" s="10">
        <v>4</v>
      </c>
      <c r="C369" s="10">
        <v>66</v>
      </c>
      <c r="D369" s="29">
        <v>981.42</v>
      </c>
      <c r="E369" s="29">
        <v>235.31899999999999</v>
      </c>
      <c r="F369" s="30">
        <v>46022</v>
      </c>
      <c r="G369" s="10">
        <v>0</v>
      </c>
      <c r="H369" s="10">
        <v>0</v>
      </c>
      <c r="I369" s="10">
        <v>0</v>
      </c>
      <c r="J369" t="s">
        <v>54</v>
      </c>
      <c r="K369" s="10">
        <v>8022</v>
      </c>
    </row>
    <row r="370" spans="1:11">
      <c r="A370" s="10">
        <v>5002</v>
      </c>
      <c r="B370" s="10">
        <v>6</v>
      </c>
      <c r="C370" s="10">
        <v>183</v>
      </c>
      <c r="D370" s="29">
        <v>1919.67</v>
      </c>
      <c r="E370" s="29">
        <v>788.88400000000001</v>
      </c>
      <c r="F370" s="30">
        <v>45869</v>
      </c>
      <c r="G370" s="10">
        <v>0</v>
      </c>
      <c r="H370" s="10">
        <v>0</v>
      </c>
      <c r="I370" s="10">
        <v>0</v>
      </c>
      <c r="J370" t="s">
        <v>54</v>
      </c>
      <c r="K370" s="10">
        <v>8013</v>
      </c>
    </row>
    <row r="371" spans="1:11">
      <c r="A371" s="10">
        <v>5010</v>
      </c>
      <c r="B371" s="10">
        <v>6</v>
      </c>
      <c r="C371" s="10">
        <v>47</v>
      </c>
      <c r="D371" s="29">
        <v>674.92</v>
      </c>
      <c r="E371" s="29">
        <v>132.667</v>
      </c>
      <c r="F371" s="30">
        <v>45351</v>
      </c>
      <c r="G371" s="10">
        <v>0</v>
      </c>
      <c r="H371" s="10">
        <v>0</v>
      </c>
      <c r="I371" s="10">
        <v>0</v>
      </c>
      <c r="J371" t="s">
        <v>54</v>
      </c>
      <c r="K371" s="10">
        <v>8021</v>
      </c>
    </row>
    <row r="372" spans="1:11">
      <c r="A372" s="10">
        <v>5003</v>
      </c>
      <c r="B372" s="10">
        <v>1</v>
      </c>
      <c r="C372" s="10">
        <v>267</v>
      </c>
      <c r="D372" s="29">
        <v>1006.59</v>
      </c>
      <c r="E372" s="29">
        <v>328.31599999999997</v>
      </c>
      <c r="F372" s="30">
        <v>45900</v>
      </c>
      <c r="G372" s="10">
        <v>0</v>
      </c>
      <c r="H372" s="10">
        <v>0</v>
      </c>
      <c r="I372" s="10">
        <v>0</v>
      </c>
      <c r="J372" t="s">
        <v>54</v>
      </c>
      <c r="K372" s="10">
        <v>8028</v>
      </c>
    </row>
    <row r="373" spans="1:11">
      <c r="A373" s="10">
        <v>5007</v>
      </c>
      <c r="B373" s="10">
        <v>1</v>
      </c>
      <c r="C373" s="10">
        <v>57</v>
      </c>
      <c r="D373" s="29">
        <v>427.5</v>
      </c>
      <c r="E373" s="29">
        <v>68.542000000000002</v>
      </c>
      <c r="F373" s="30">
        <v>45991</v>
      </c>
      <c r="G373" s="10">
        <v>0</v>
      </c>
      <c r="H373" s="10">
        <v>0</v>
      </c>
      <c r="I373" s="10">
        <v>0</v>
      </c>
      <c r="J373" t="s">
        <v>54</v>
      </c>
      <c r="K373" s="10">
        <v>8003</v>
      </c>
    </row>
    <row r="374" spans="1:11">
      <c r="A374" s="10">
        <v>5013</v>
      </c>
      <c r="B374" s="10">
        <v>5</v>
      </c>
      <c r="C374" s="10">
        <v>117</v>
      </c>
      <c r="D374" s="29">
        <v>1194.57</v>
      </c>
      <c r="E374" s="29">
        <v>222.63399999999999</v>
      </c>
      <c r="F374" s="30">
        <v>45626</v>
      </c>
      <c r="G374" s="10">
        <v>0</v>
      </c>
      <c r="H374" s="10">
        <v>0</v>
      </c>
      <c r="I374" s="10">
        <v>0</v>
      </c>
      <c r="J374" t="s">
        <v>54</v>
      </c>
      <c r="K374" s="10">
        <v>8027</v>
      </c>
    </row>
    <row r="375" spans="1:11">
      <c r="A375" s="10">
        <v>5018</v>
      </c>
      <c r="B375" s="10">
        <v>3</v>
      </c>
      <c r="C375" s="10">
        <v>61</v>
      </c>
      <c r="D375" s="29">
        <v>209.84</v>
      </c>
      <c r="E375" s="29">
        <v>49.664000000000001</v>
      </c>
      <c r="F375" s="30">
        <v>45657</v>
      </c>
      <c r="G375" s="10">
        <v>0</v>
      </c>
      <c r="H375" s="10">
        <v>0</v>
      </c>
      <c r="I375" s="10">
        <v>0</v>
      </c>
      <c r="J375" t="s">
        <v>54</v>
      </c>
      <c r="K375" s="10">
        <v>8010</v>
      </c>
    </row>
    <row r="376" spans="1:11">
      <c r="A376" s="10">
        <v>5024</v>
      </c>
      <c r="B376" s="10">
        <v>1</v>
      </c>
      <c r="C376" s="10">
        <v>121</v>
      </c>
      <c r="D376" s="29">
        <v>2184.0500000000002</v>
      </c>
      <c r="E376" s="29">
        <v>859.45100000000002</v>
      </c>
      <c r="F376" s="30">
        <v>45596</v>
      </c>
      <c r="G376" s="10">
        <v>0</v>
      </c>
      <c r="H376" s="10">
        <v>0</v>
      </c>
      <c r="I376" s="10">
        <v>0</v>
      </c>
      <c r="J376" t="s">
        <v>54</v>
      </c>
      <c r="K376" s="10">
        <v>8001</v>
      </c>
    </row>
    <row r="377" spans="1:11">
      <c r="A377" s="10">
        <v>5010</v>
      </c>
      <c r="B377" s="10">
        <v>2</v>
      </c>
      <c r="C377" s="10">
        <v>30</v>
      </c>
      <c r="D377" s="29">
        <v>681.6</v>
      </c>
      <c r="E377" s="29">
        <v>266.73500000000001</v>
      </c>
      <c r="F377" s="30">
        <v>45412</v>
      </c>
      <c r="G377" s="10">
        <v>0</v>
      </c>
      <c r="H377" s="10">
        <v>0</v>
      </c>
      <c r="I377" s="10">
        <v>0</v>
      </c>
      <c r="J377" t="s">
        <v>54</v>
      </c>
      <c r="K377" s="10">
        <v>8009</v>
      </c>
    </row>
    <row r="378" spans="1:11">
      <c r="A378" s="10">
        <v>5002</v>
      </c>
      <c r="B378" s="10">
        <v>1</v>
      </c>
      <c r="C378" s="10">
        <v>193</v>
      </c>
      <c r="D378" s="29">
        <v>3441.19</v>
      </c>
      <c r="E378" s="29">
        <v>787.92499999999995</v>
      </c>
      <c r="F378" s="30">
        <v>45473</v>
      </c>
      <c r="G378" s="10">
        <v>0</v>
      </c>
      <c r="H378" s="10">
        <v>0</v>
      </c>
      <c r="I378" s="10">
        <v>0</v>
      </c>
      <c r="J378" t="s">
        <v>54</v>
      </c>
      <c r="K378" s="10">
        <v>8003</v>
      </c>
    </row>
    <row r="379" spans="1:11">
      <c r="A379" s="10">
        <v>5003</v>
      </c>
      <c r="B379" s="10">
        <v>2</v>
      </c>
      <c r="C379" s="10">
        <v>225</v>
      </c>
      <c r="D379" s="29">
        <v>1172.25</v>
      </c>
      <c r="E379" s="29">
        <v>317.88799999999998</v>
      </c>
      <c r="F379" s="30">
        <v>45565</v>
      </c>
      <c r="G379" s="10">
        <v>0</v>
      </c>
      <c r="H379" s="10">
        <v>0</v>
      </c>
      <c r="I379" s="10">
        <v>0</v>
      </c>
      <c r="J379" t="s">
        <v>54</v>
      </c>
      <c r="K379" s="10">
        <v>8001</v>
      </c>
    </row>
    <row r="380" spans="1:11">
      <c r="A380" s="10">
        <v>5011</v>
      </c>
      <c r="B380" s="10">
        <v>1</v>
      </c>
      <c r="C380" s="10">
        <v>30</v>
      </c>
      <c r="D380" s="29">
        <v>167.7</v>
      </c>
      <c r="E380" s="29">
        <v>30.405000000000001</v>
      </c>
      <c r="F380" s="30">
        <v>45565</v>
      </c>
      <c r="G380" s="10">
        <v>0</v>
      </c>
      <c r="H380" s="10">
        <v>0</v>
      </c>
      <c r="I380" s="10">
        <v>0</v>
      </c>
      <c r="J380" t="s">
        <v>54</v>
      </c>
      <c r="K380" s="10">
        <v>8009</v>
      </c>
    </row>
    <row r="381" spans="1:11">
      <c r="A381" s="10">
        <v>5004</v>
      </c>
      <c r="B381" s="10">
        <v>2</v>
      </c>
      <c r="C381" s="10">
        <v>184</v>
      </c>
      <c r="D381" s="29">
        <v>702.88</v>
      </c>
      <c r="E381" s="29">
        <v>146.24799999999999</v>
      </c>
      <c r="F381" s="30">
        <v>45961</v>
      </c>
      <c r="G381" s="10">
        <v>0</v>
      </c>
      <c r="H381" s="10">
        <v>0</v>
      </c>
      <c r="I381" s="10">
        <v>0</v>
      </c>
      <c r="J381" t="s">
        <v>54</v>
      </c>
      <c r="K381" s="10">
        <v>8005</v>
      </c>
    </row>
    <row r="382" spans="1:11">
      <c r="A382" s="10">
        <v>5005</v>
      </c>
      <c r="B382" s="10">
        <v>1</v>
      </c>
      <c r="C382" s="10">
        <v>163</v>
      </c>
      <c r="D382" s="29">
        <v>1111.6600000000001</v>
      </c>
      <c r="E382" s="29">
        <v>195.68100000000001</v>
      </c>
      <c r="F382" s="30">
        <v>45991</v>
      </c>
      <c r="G382" s="10">
        <v>0</v>
      </c>
      <c r="H382" s="10">
        <v>0</v>
      </c>
      <c r="I382" s="10">
        <v>0</v>
      </c>
      <c r="J382" t="s">
        <v>54</v>
      </c>
      <c r="K382" s="10">
        <v>8006</v>
      </c>
    </row>
    <row r="383" spans="1:11">
      <c r="A383" s="10">
        <v>5011</v>
      </c>
      <c r="B383" s="10">
        <v>2</v>
      </c>
      <c r="C383" s="10">
        <v>137</v>
      </c>
      <c r="D383" s="29">
        <v>3198.95</v>
      </c>
      <c r="E383" s="29">
        <v>972.27800000000002</v>
      </c>
      <c r="F383" s="30">
        <v>45900</v>
      </c>
      <c r="G383" s="10">
        <v>0</v>
      </c>
      <c r="H383" s="10">
        <v>0</v>
      </c>
      <c r="I383" s="10">
        <v>0</v>
      </c>
      <c r="J383" t="s">
        <v>54</v>
      </c>
      <c r="K383" s="10">
        <v>8001</v>
      </c>
    </row>
    <row r="384" spans="1:11">
      <c r="A384" s="10">
        <v>5016</v>
      </c>
      <c r="B384" s="10">
        <v>2</v>
      </c>
      <c r="C384" s="10">
        <v>260</v>
      </c>
      <c r="D384" s="29">
        <v>3208.4</v>
      </c>
      <c r="E384" s="29">
        <v>910.63400000000001</v>
      </c>
      <c r="F384" s="30">
        <v>45961</v>
      </c>
      <c r="G384" s="10">
        <v>0</v>
      </c>
      <c r="H384" s="10">
        <v>0</v>
      </c>
      <c r="I384" s="10">
        <v>0</v>
      </c>
      <c r="J384" t="s">
        <v>54</v>
      </c>
      <c r="K384" s="10">
        <v>8005</v>
      </c>
    </row>
    <row r="385" spans="1:11">
      <c r="A385" s="10">
        <v>5020</v>
      </c>
      <c r="B385" s="10">
        <v>2</v>
      </c>
      <c r="C385" s="10">
        <v>252</v>
      </c>
      <c r="D385" s="29">
        <v>4931.6400000000003</v>
      </c>
      <c r="E385" s="29">
        <v>1584.393</v>
      </c>
      <c r="F385" s="30">
        <v>45382</v>
      </c>
      <c r="G385" s="10">
        <v>0</v>
      </c>
      <c r="H385" s="10">
        <v>0</v>
      </c>
      <c r="I385" s="10">
        <v>0</v>
      </c>
      <c r="J385" t="s">
        <v>54</v>
      </c>
      <c r="K385" s="10">
        <v>8012</v>
      </c>
    </row>
    <row r="386" spans="1:11">
      <c r="A386" s="10">
        <v>5014</v>
      </c>
      <c r="B386" s="10">
        <v>6</v>
      </c>
      <c r="C386" s="10">
        <v>196</v>
      </c>
      <c r="D386" s="29">
        <v>3871</v>
      </c>
      <c r="E386" s="29">
        <v>1045.47</v>
      </c>
      <c r="F386" s="30">
        <v>45443</v>
      </c>
      <c r="G386" s="10">
        <v>0</v>
      </c>
      <c r="H386" s="10">
        <v>0</v>
      </c>
      <c r="I386" s="10">
        <v>0</v>
      </c>
      <c r="J386" t="s">
        <v>54</v>
      </c>
      <c r="K386" s="10">
        <v>8002</v>
      </c>
    </row>
    <row r="387" spans="1:11">
      <c r="A387" s="10">
        <v>5006</v>
      </c>
      <c r="B387" s="10">
        <v>3</v>
      </c>
      <c r="C387" s="10">
        <v>223</v>
      </c>
      <c r="D387" s="29">
        <v>1679.19</v>
      </c>
      <c r="E387" s="29">
        <v>667.78899999999999</v>
      </c>
      <c r="F387" s="30">
        <v>46022</v>
      </c>
      <c r="G387" s="10">
        <v>0</v>
      </c>
      <c r="H387" s="10">
        <v>0</v>
      </c>
      <c r="I387" s="10">
        <v>0</v>
      </c>
      <c r="J387" t="s">
        <v>54</v>
      </c>
      <c r="K387" s="10">
        <v>8030</v>
      </c>
    </row>
    <row r="388" spans="1:11">
      <c r="A388" s="10">
        <v>5005</v>
      </c>
      <c r="B388" s="10">
        <v>1</v>
      </c>
      <c r="C388" s="10">
        <v>89</v>
      </c>
      <c r="D388" s="29">
        <v>1065.33</v>
      </c>
      <c r="E388" s="29">
        <v>388.31599999999997</v>
      </c>
      <c r="F388" s="30">
        <v>45382</v>
      </c>
      <c r="G388" s="10">
        <v>0</v>
      </c>
      <c r="H388" s="10">
        <v>0</v>
      </c>
      <c r="I388" s="10">
        <v>0</v>
      </c>
      <c r="J388" t="s">
        <v>54</v>
      </c>
      <c r="K388" s="10">
        <v>8005</v>
      </c>
    </row>
    <row r="389" spans="1:11">
      <c r="A389" s="10">
        <v>5008</v>
      </c>
      <c r="B389" s="10">
        <v>2</v>
      </c>
      <c r="C389" s="10">
        <v>59</v>
      </c>
      <c r="D389" s="29">
        <v>876.15</v>
      </c>
      <c r="E389" s="29">
        <v>354.23500000000001</v>
      </c>
      <c r="F389" s="30">
        <v>45808</v>
      </c>
      <c r="G389" s="10">
        <v>0</v>
      </c>
      <c r="H389" s="10">
        <v>0</v>
      </c>
      <c r="I389" s="10">
        <v>0</v>
      </c>
      <c r="J389" t="s">
        <v>54</v>
      </c>
      <c r="K389" s="10">
        <v>8005</v>
      </c>
    </row>
    <row r="390" spans="1:11">
      <c r="A390" s="10">
        <v>5009</v>
      </c>
      <c r="B390" s="10">
        <v>1</v>
      </c>
      <c r="C390" s="10">
        <v>185</v>
      </c>
      <c r="D390" s="29">
        <v>1744.55</v>
      </c>
      <c r="E390" s="29">
        <v>452.87</v>
      </c>
      <c r="F390" s="30">
        <v>45991</v>
      </c>
      <c r="G390" s="10">
        <v>0</v>
      </c>
      <c r="H390" s="10">
        <v>0</v>
      </c>
      <c r="I390" s="10">
        <v>0</v>
      </c>
      <c r="J390" t="s">
        <v>54</v>
      </c>
      <c r="K390" s="10">
        <v>8002</v>
      </c>
    </row>
    <row r="391" spans="1:11">
      <c r="A391" s="10">
        <v>5010</v>
      </c>
      <c r="B391" s="10">
        <v>1</v>
      </c>
      <c r="C391" s="10">
        <v>63</v>
      </c>
      <c r="D391" s="29">
        <v>964.53</v>
      </c>
      <c r="E391" s="29">
        <v>164.05099999999999</v>
      </c>
      <c r="F391" s="30">
        <v>45688</v>
      </c>
      <c r="G391" s="10">
        <v>0</v>
      </c>
      <c r="H391" s="10">
        <v>0</v>
      </c>
      <c r="I391" s="10">
        <v>0</v>
      </c>
      <c r="J391" t="s">
        <v>54</v>
      </c>
      <c r="K391" s="10">
        <v>8001</v>
      </c>
    </row>
    <row r="392" spans="1:11">
      <c r="A392" s="10">
        <v>5005</v>
      </c>
      <c r="B392" s="10">
        <v>4</v>
      </c>
      <c r="C392" s="10">
        <v>-275</v>
      </c>
      <c r="D392" s="29">
        <v>-5970.25</v>
      </c>
      <c r="E392" s="29">
        <v>-450.505</v>
      </c>
      <c r="F392" s="30">
        <v>45991</v>
      </c>
      <c r="G392" s="10">
        <v>1</v>
      </c>
      <c r="H392" s="10">
        <v>1</v>
      </c>
      <c r="I392" s="10">
        <v>0</v>
      </c>
      <c r="J392" t="s">
        <v>2</v>
      </c>
      <c r="K392" s="10">
        <v>8003</v>
      </c>
    </row>
    <row r="393" spans="1:11">
      <c r="A393" s="10">
        <v>5007</v>
      </c>
      <c r="B393" s="10">
        <v>1</v>
      </c>
      <c r="C393" s="10">
        <v>258</v>
      </c>
      <c r="D393" s="29">
        <v>1233.24</v>
      </c>
      <c r="E393" s="29">
        <v>339.39800000000002</v>
      </c>
      <c r="F393" s="30">
        <v>45565</v>
      </c>
      <c r="G393" s="10">
        <v>0</v>
      </c>
      <c r="H393" s="10">
        <v>0</v>
      </c>
      <c r="I393" s="10">
        <v>0</v>
      </c>
      <c r="J393" t="s">
        <v>54</v>
      </c>
      <c r="K393" s="10">
        <v>8011</v>
      </c>
    </row>
    <row r="394" spans="1:11">
      <c r="A394" s="10">
        <v>5004</v>
      </c>
      <c r="B394" s="10">
        <v>3</v>
      </c>
      <c r="C394" s="10">
        <v>66</v>
      </c>
      <c r="D394" s="29">
        <v>428.34</v>
      </c>
      <c r="E394" s="29">
        <v>151.05199999999999</v>
      </c>
      <c r="F394" s="30">
        <v>45961</v>
      </c>
      <c r="G394" s="10">
        <v>0</v>
      </c>
      <c r="H394" s="10">
        <v>0</v>
      </c>
      <c r="I394" s="10">
        <v>0</v>
      </c>
      <c r="J394" t="s">
        <v>54</v>
      </c>
      <c r="K394" s="10">
        <v>8005</v>
      </c>
    </row>
    <row r="395" spans="1:11">
      <c r="A395" s="10">
        <v>5018</v>
      </c>
      <c r="B395" s="10">
        <v>2</v>
      </c>
      <c r="C395" s="10">
        <v>61</v>
      </c>
      <c r="D395" s="29">
        <v>531.30999999999995</v>
      </c>
      <c r="E395" s="29">
        <v>103.748</v>
      </c>
      <c r="F395" s="30">
        <v>45930</v>
      </c>
      <c r="G395" s="10">
        <v>0</v>
      </c>
      <c r="H395" s="10">
        <v>0</v>
      </c>
      <c r="I395" s="10">
        <v>0</v>
      </c>
      <c r="J395" t="s">
        <v>54</v>
      </c>
      <c r="K395" s="10">
        <v>8016</v>
      </c>
    </row>
    <row r="396" spans="1:11">
      <c r="A396" s="10">
        <v>5019</v>
      </c>
      <c r="B396" s="10">
        <v>1</v>
      </c>
      <c r="C396" s="10">
        <v>303</v>
      </c>
      <c r="D396" s="29">
        <v>6175.14</v>
      </c>
      <c r="E396" s="29">
        <v>1720.867</v>
      </c>
      <c r="F396" s="30">
        <v>45991</v>
      </c>
      <c r="G396" s="10">
        <v>0</v>
      </c>
      <c r="H396" s="10">
        <v>0</v>
      </c>
      <c r="I396" s="10">
        <v>0</v>
      </c>
      <c r="J396" t="s">
        <v>54</v>
      </c>
      <c r="K396" s="10">
        <v>8001</v>
      </c>
    </row>
    <row r="397" spans="1:11">
      <c r="A397" s="10">
        <v>5012</v>
      </c>
      <c r="B397" s="10">
        <v>4</v>
      </c>
      <c r="C397" s="10">
        <v>134</v>
      </c>
      <c r="D397" s="29">
        <v>2131.94</v>
      </c>
      <c r="E397" s="29">
        <v>358.05200000000002</v>
      </c>
      <c r="F397" s="30">
        <v>45991</v>
      </c>
      <c r="G397" s="10">
        <v>0</v>
      </c>
      <c r="H397" s="10">
        <v>0</v>
      </c>
      <c r="I397" s="10">
        <v>0</v>
      </c>
      <c r="J397" t="s">
        <v>54</v>
      </c>
      <c r="K397" s="10">
        <v>8003</v>
      </c>
    </row>
    <row r="398" spans="1:11">
      <c r="A398" s="10">
        <v>5010</v>
      </c>
      <c r="B398" s="10">
        <v>5</v>
      </c>
      <c r="C398" s="10">
        <v>138</v>
      </c>
      <c r="D398" s="29">
        <v>1319.28</v>
      </c>
      <c r="E398" s="29">
        <v>517.90700000000004</v>
      </c>
      <c r="F398" s="30">
        <v>45626</v>
      </c>
      <c r="G398" s="10">
        <v>0</v>
      </c>
      <c r="H398" s="10">
        <v>0</v>
      </c>
      <c r="I398" s="10">
        <v>0</v>
      </c>
      <c r="J398" t="s">
        <v>54</v>
      </c>
      <c r="K398" s="10">
        <v>8002</v>
      </c>
    </row>
    <row r="399" spans="1:11">
      <c r="A399" s="10">
        <v>5012</v>
      </c>
      <c r="B399" s="10">
        <v>2</v>
      </c>
      <c r="C399" s="10">
        <v>61</v>
      </c>
      <c r="D399" s="29">
        <v>884.5</v>
      </c>
      <c r="E399" s="29">
        <v>338.63</v>
      </c>
      <c r="F399" s="30">
        <v>45900</v>
      </c>
      <c r="G399" s="10">
        <v>0</v>
      </c>
      <c r="H399" s="10">
        <v>0</v>
      </c>
      <c r="I399" s="10">
        <v>0</v>
      </c>
      <c r="J399" t="s">
        <v>54</v>
      </c>
      <c r="K399" s="10">
        <v>8003</v>
      </c>
    </row>
    <row r="400" spans="1:11">
      <c r="A400" s="10">
        <v>5011</v>
      </c>
      <c r="B400" s="10">
        <v>2</v>
      </c>
      <c r="C400" s="10">
        <v>25</v>
      </c>
      <c r="D400" s="29">
        <v>478</v>
      </c>
      <c r="E400" s="29">
        <v>77.585999999999999</v>
      </c>
      <c r="F400" s="30">
        <v>45838</v>
      </c>
      <c r="G400" s="10">
        <v>0</v>
      </c>
      <c r="H400" s="10">
        <v>0</v>
      </c>
      <c r="I400" s="10">
        <v>0</v>
      </c>
      <c r="J400" t="s">
        <v>54</v>
      </c>
      <c r="K400" s="10">
        <v>8003</v>
      </c>
    </row>
    <row r="401" spans="1:11">
      <c r="A401" s="10">
        <v>5011</v>
      </c>
      <c r="B401" s="10">
        <v>1</v>
      </c>
      <c r="C401" s="10">
        <v>105</v>
      </c>
      <c r="D401" s="29">
        <v>2065.35</v>
      </c>
      <c r="E401" s="29">
        <v>849.73900000000003</v>
      </c>
      <c r="F401" s="30">
        <v>45991</v>
      </c>
      <c r="G401" s="10">
        <v>0</v>
      </c>
      <c r="H401" s="10">
        <v>0</v>
      </c>
      <c r="I401" s="10">
        <v>0</v>
      </c>
      <c r="J401" t="s">
        <v>54</v>
      </c>
      <c r="K401" s="10">
        <v>8009</v>
      </c>
    </row>
    <row r="402" spans="1:11">
      <c r="A402" s="10">
        <v>5006</v>
      </c>
      <c r="B402" s="10">
        <v>2</v>
      </c>
      <c r="C402" s="10">
        <v>77</v>
      </c>
      <c r="D402" s="29">
        <v>936.32</v>
      </c>
      <c r="E402" s="29">
        <v>350.48399999999998</v>
      </c>
      <c r="F402" s="30">
        <v>45808</v>
      </c>
      <c r="G402" s="10">
        <v>0</v>
      </c>
      <c r="H402" s="10">
        <v>0</v>
      </c>
      <c r="I402" s="10">
        <v>0</v>
      </c>
      <c r="J402" t="s">
        <v>54</v>
      </c>
      <c r="K402" s="10">
        <v>8004</v>
      </c>
    </row>
    <row r="403" spans="1:11">
      <c r="A403" s="10">
        <v>5002</v>
      </c>
      <c r="B403" s="10">
        <v>3</v>
      </c>
      <c r="C403" s="10">
        <v>257</v>
      </c>
      <c r="D403" s="29">
        <v>2598.27</v>
      </c>
      <c r="E403" s="29">
        <v>827.16700000000003</v>
      </c>
      <c r="F403" s="30">
        <v>45626</v>
      </c>
      <c r="G403" s="10">
        <v>0</v>
      </c>
      <c r="H403" s="10">
        <v>0</v>
      </c>
      <c r="I403" s="10">
        <v>0</v>
      </c>
      <c r="J403" t="s">
        <v>54</v>
      </c>
      <c r="K403" s="10">
        <v>8007</v>
      </c>
    </row>
    <row r="404" spans="1:11">
      <c r="A404" s="10">
        <v>5002</v>
      </c>
      <c r="B404" s="10">
        <v>6</v>
      </c>
      <c r="C404" s="10">
        <v>106</v>
      </c>
      <c r="D404" s="29">
        <v>2218.58</v>
      </c>
      <c r="E404" s="29">
        <v>765.154</v>
      </c>
      <c r="F404" s="30">
        <v>45565</v>
      </c>
      <c r="G404" s="10">
        <v>0</v>
      </c>
      <c r="H404" s="10">
        <v>0</v>
      </c>
      <c r="I404" s="10">
        <v>0</v>
      </c>
      <c r="J404" t="s">
        <v>54</v>
      </c>
      <c r="K404" s="10">
        <v>8001</v>
      </c>
    </row>
    <row r="405" spans="1:11">
      <c r="A405" s="10">
        <v>5004</v>
      </c>
      <c r="B405" s="10">
        <v>4</v>
      </c>
      <c r="C405" s="10">
        <v>263</v>
      </c>
      <c r="D405" s="29">
        <v>5175.84</v>
      </c>
      <c r="E405" s="29">
        <v>1635.61</v>
      </c>
      <c r="F405" s="30">
        <v>45991</v>
      </c>
      <c r="G405" s="10">
        <v>0</v>
      </c>
      <c r="H405" s="10">
        <v>0</v>
      </c>
      <c r="I405" s="10">
        <v>0</v>
      </c>
      <c r="J405" t="s">
        <v>54</v>
      </c>
      <c r="K405" s="10">
        <v>8002</v>
      </c>
    </row>
    <row r="406" spans="1:11">
      <c r="A406" s="10">
        <v>5011</v>
      </c>
      <c r="B406" s="10">
        <v>3</v>
      </c>
      <c r="C406" s="10">
        <v>305</v>
      </c>
      <c r="D406" s="29">
        <v>2305.8000000000002</v>
      </c>
      <c r="E406" s="29">
        <v>601.702</v>
      </c>
      <c r="F406" s="30">
        <v>45838</v>
      </c>
      <c r="G406" s="10">
        <v>0</v>
      </c>
      <c r="H406" s="10">
        <v>0</v>
      </c>
      <c r="I406" s="10">
        <v>0</v>
      </c>
      <c r="J406" t="s">
        <v>54</v>
      </c>
      <c r="K406" s="10">
        <v>8012</v>
      </c>
    </row>
    <row r="407" spans="1:11">
      <c r="A407" s="10">
        <v>5012</v>
      </c>
      <c r="B407" s="10">
        <v>1</v>
      </c>
      <c r="C407" s="10">
        <v>203</v>
      </c>
      <c r="D407" s="29">
        <v>1368.22</v>
      </c>
      <c r="E407" s="29">
        <v>498.13200000000001</v>
      </c>
      <c r="F407" s="30">
        <v>45351</v>
      </c>
      <c r="G407" s="10">
        <v>0</v>
      </c>
      <c r="H407" s="10">
        <v>0</v>
      </c>
      <c r="I407" s="10">
        <v>0</v>
      </c>
      <c r="J407" t="s">
        <v>54</v>
      </c>
      <c r="K407" s="10">
        <v>8008</v>
      </c>
    </row>
    <row r="408" spans="1:11">
      <c r="A408" s="10">
        <v>5011</v>
      </c>
      <c r="B408" s="10">
        <v>4</v>
      </c>
      <c r="C408" s="10">
        <v>235</v>
      </c>
      <c r="D408" s="29">
        <v>4996.1000000000004</v>
      </c>
      <c r="E408" s="29">
        <v>926.16099999999994</v>
      </c>
      <c r="F408" s="30">
        <v>45991</v>
      </c>
      <c r="G408" s="10">
        <v>0</v>
      </c>
      <c r="H408" s="10">
        <v>0</v>
      </c>
      <c r="I408" s="10">
        <v>0</v>
      </c>
      <c r="J408" t="s">
        <v>54</v>
      </c>
      <c r="K408" s="10">
        <v>8007</v>
      </c>
    </row>
    <row r="409" spans="1:11">
      <c r="A409" s="10">
        <v>5004</v>
      </c>
      <c r="B409" s="10">
        <v>4</v>
      </c>
      <c r="C409" s="10">
        <v>54</v>
      </c>
      <c r="D409" s="29">
        <v>912.06</v>
      </c>
      <c r="E409" s="29">
        <v>167.10599999999999</v>
      </c>
      <c r="F409" s="30">
        <v>45443</v>
      </c>
      <c r="G409" s="10">
        <v>0</v>
      </c>
      <c r="H409" s="10">
        <v>0</v>
      </c>
      <c r="I409" s="10">
        <v>0</v>
      </c>
      <c r="J409" t="s">
        <v>54</v>
      </c>
      <c r="K409" s="10">
        <v>8016</v>
      </c>
    </row>
    <row r="410" spans="1:11">
      <c r="A410" s="10">
        <v>5013</v>
      </c>
      <c r="B410" s="10">
        <v>4</v>
      </c>
      <c r="C410" s="10">
        <v>96</v>
      </c>
      <c r="D410" s="29">
        <v>727.68</v>
      </c>
      <c r="E410" s="29">
        <v>277.476</v>
      </c>
      <c r="F410" s="30">
        <v>45626</v>
      </c>
      <c r="G410" s="10">
        <v>0</v>
      </c>
      <c r="H410" s="10">
        <v>0</v>
      </c>
      <c r="I410" s="10">
        <v>0</v>
      </c>
      <c r="J410" t="s">
        <v>54</v>
      </c>
      <c r="K410" s="10">
        <v>8004</v>
      </c>
    </row>
    <row r="411" spans="1:11">
      <c r="A411" s="10">
        <v>5018</v>
      </c>
      <c r="B411" s="10">
        <v>6</v>
      </c>
      <c r="C411" s="10">
        <v>30</v>
      </c>
      <c r="D411" s="29">
        <v>646.5</v>
      </c>
      <c r="E411" s="29">
        <v>249.25800000000001</v>
      </c>
      <c r="F411" s="30">
        <v>45657</v>
      </c>
      <c r="G411" s="10">
        <v>0</v>
      </c>
      <c r="H411" s="10">
        <v>0</v>
      </c>
      <c r="I411" s="10">
        <v>0</v>
      </c>
      <c r="J411" t="s">
        <v>54</v>
      </c>
      <c r="K411" s="10">
        <v>8009</v>
      </c>
    </row>
    <row r="412" spans="1:11">
      <c r="A412" s="10">
        <v>5004</v>
      </c>
      <c r="B412" s="10">
        <v>4</v>
      </c>
      <c r="C412" s="10">
        <v>59</v>
      </c>
      <c r="D412" s="29">
        <v>368.75</v>
      </c>
      <c r="E412" s="29">
        <v>113.592</v>
      </c>
      <c r="F412" s="30">
        <v>45626</v>
      </c>
      <c r="G412" s="10">
        <v>0</v>
      </c>
      <c r="H412" s="10">
        <v>0</v>
      </c>
      <c r="I412" s="10">
        <v>0</v>
      </c>
      <c r="J412" t="s">
        <v>54</v>
      </c>
      <c r="K412" s="10">
        <v>8001</v>
      </c>
    </row>
    <row r="413" spans="1:11">
      <c r="A413" s="10">
        <v>5007</v>
      </c>
      <c r="B413" s="10">
        <v>3</v>
      </c>
      <c r="C413" s="10">
        <v>230</v>
      </c>
      <c r="D413" s="29">
        <v>2902.6</v>
      </c>
      <c r="E413" s="29">
        <v>597.86099999999999</v>
      </c>
      <c r="F413" s="30">
        <v>45991</v>
      </c>
      <c r="G413" s="10">
        <v>0</v>
      </c>
      <c r="H413" s="10">
        <v>0</v>
      </c>
      <c r="I413" s="10">
        <v>0</v>
      </c>
      <c r="J413" t="s">
        <v>54</v>
      </c>
      <c r="K413" s="10">
        <v>8004</v>
      </c>
    </row>
    <row r="414" spans="1:11">
      <c r="A414" s="10">
        <v>5001</v>
      </c>
      <c r="B414" s="10">
        <v>4</v>
      </c>
      <c r="C414" s="10">
        <v>52</v>
      </c>
      <c r="D414" s="29">
        <v>976.04</v>
      </c>
      <c r="E414" s="29">
        <v>349.93799999999999</v>
      </c>
      <c r="F414" s="30">
        <v>45808</v>
      </c>
      <c r="G414" s="10">
        <v>0</v>
      </c>
      <c r="H414" s="10">
        <v>0</v>
      </c>
      <c r="I414" s="10">
        <v>0</v>
      </c>
      <c r="J414" t="s">
        <v>54</v>
      </c>
      <c r="K414" s="10">
        <v>8003</v>
      </c>
    </row>
    <row r="415" spans="1:11">
      <c r="A415" s="10">
        <v>5010</v>
      </c>
      <c r="B415" s="10">
        <v>2</v>
      </c>
      <c r="C415" s="10">
        <v>-293</v>
      </c>
      <c r="D415" s="29">
        <v>-3020.83</v>
      </c>
      <c r="E415" s="29">
        <v>0</v>
      </c>
      <c r="F415" s="30">
        <v>45412</v>
      </c>
      <c r="G415" s="10">
        <v>1</v>
      </c>
      <c r="H415" s="10">
        <v>1</v>
      </c>
      <c r="I415" s="10">
        <v>0</v>
      </c>
      <c r="J415" t="s">
        <v>2</v>
      </c>
      <c r="K415" s="10">
        <v>8010</v>
      </c>
    </row>
    <row r="416" spans="1:11">
      <c r="A416" s="10">
        <v>5001</v>
      </c>
      <c r="B416" s="10">
        <v>4</v>
      </c>
      <c r="C416" s="10">
        <v>69</v>
      </c>
      <c r="D416" s="29">
        <v>1160.58</v>
      </c>
      <c r="E416" s="29">
        <v>260.77499999999998</v>
      </c>
      <c r="F416" s="30">
        <v>45626</v>
      </c>
      <c r="G416" s="10">
        <v>0</v>
      </c>
      <c r="H416" s="10">
        <v>0</v>
      </c>
      <c r="I416" s="10">
        <v>0</v>
      </c>
      <c r="J416" t="s">
        <v>54</v>
      </c>
      <c r="K416" s="10">
        <v>8004</v>
      </c>
    </row>
    <row r="417" spans="1:11">
      <c r="A417" s="10">
        <v>5005</v>
      </c>
      <c r="B417" s="10">
        <v>2</v>
      </c>
      <c r="C417" s="10">
        <v>148</v>
      </c>
      <c r="D417" s="29">
        <v>815.48</v>
      </c>
      <c r="E417" s="29">
        <v>193.703</v>
      </c>
      <c r="F417" s="30">
        <v>45869</v>
      </c>
      <c r="G417" s="10">
        <v>0</v>
      </c>
      <c r="H417" s="10">
        <v>0</v>
      </c>
      <c r="I417" s="10">
        <v>0</v>
      </c>
      <c r="J417" t="s">
        <v>54</v>
      </c>
      <c r="K417" s="10">
        <v>8002</v>
      </c>
    </row>
    <row r="418" spans="1:11">
      <c r="A418" s="10">
        <v>5012</v>
      </c>
      <c r="B418" s="10">
        <v>1</v>
      </c>
      <c r="C418" s="10">
        <v>268</v>
      </c>
      <c r="D418" s="29">
        <v>6405.2</v>
      </c>
      <c r="E418" s="29">
        <v>2525.953</v>
      </c>
      <c r="F418" s="30">
        <v>45565</v>
      </c>
      <c r="G418" s="10">
        <v>0</v>
      </c>
      <c r="H418" s="10">
        <v>0</v>
      </c>
      <c r="I418" s="10">
        <v>0</v>
      </c>
      <c r="J418" t="s">
        <v>54</v>
      </c>
      <c r="K418" s="10">
        <v>8009</v>
      </c>
    </row>
    <row r="419" spans="1:11">
      <c r="A419" s="10">
        <v>5003</v>
      </c>
      <c r="B419" s="10">
        <v>5</v>
      </c>
      <c r="C419" s="10">
        <v>99</v>
      </c>
      <c r="D419" s="29">
        <v>680.13</v>
      </c>
      <c r="E419" s="29">
        <v>132.02199999999999</v>
      </c>
      <c r="F419" s="30">
        <v>45626</v>
      </c>
      <c r="G419" s="10">
        <v>0</v>
      </c>
      <c r="H419" s="10">
        <v>0</v>
      </c>
      <c r="I419" s="10">
        <v>0</v>
      </c>
      <c r="J419" t="s">
        <v>54</v>
      </c>
      <c r="K419" s="10">
        <v>8024</v>
      </c>
    </row>
    <row r="420" spans="1:11">
      <c r="A420" s="10">
        <v>5010</v>
      </c>
      <c r="B420" s="10">
        <v>2</v>
      </c>
      <c r="C420" s="10">
        <v>164</v>
      </c>
      <c r="D420" s="29">
        <v>431.32</v>
      </c>
      <c r="E420" s="29">
        <v>97.695999999999998</v>
      </c>
      <c r="F420" s="30">
        <v>45900</v>
      </c>
      <c r="G420" s="10">
        <v>0</v>
      </c>
      <c r="H420" s="10">
        <v>0</v>
      </c>
      <c r="I420" s="10">
        <v>0</v>
      </c>
      <c r="J420" t="s">
        <v>54</v>
      </c>
      <c r="K420" s="10">
        <v>8002</v>
      </c>
    </row>
    <row r="421" spans="1:11">
      <c r="A421" s="10">
        <v>5001</v>
      </c>
      <c r="B421" s="10">
        <v>3</v>
      </c>
      <c r="C421" s="10">
        <v>150</v>
      </c>
      <c r="D421" s="29">
        <v>336</v>
      </c>
      <c r="E421" s="29">
        <v>90.17</v>
      </c>
      <c r="F421" s="30">
        <v>45716</v>
      </c>
      <c r="G421" s="10">
        <v>0</v>
      </c>
      <c r="H421" s="10">
        <v>0</v>
      </c>
      <c r="I421" s="10">
        <v>0</v>
      </c>
      <c r="J421" t="s">
        <v>54</v>
      </c>
      <c r="K421" s="10">
        <v>8030</v>
      </c>
    </row>
    <row r="422" spans="1:11">
      <c r="A422" s="10">
        <v>5009</v>
      </c>
      <c r="B422" s="10">
        <v>1</v>
      </c>
      <c r="C422" s="10">
        <v>241</v>
      </c>
      <c r="D422" s="29">
        <v>3805.39</v>
      </c>
      <c r="E422" s="29">
        <v>1263.5139999999999</v>
      </c>
      <c r="F422" s="30">
        <v>45626</v>
      </c>
      <c r="G422" s="10">
        <v>0</v>
      </c>
      <c r="H422" s="10">
        <v>0</v>
      </c>
      <c r="I422" s="10">
        <v>0</v>
      </c>
      <c r="J422" t="s">
        <v>54</v>
      </c>
      <c r="K422" s="10">
        <v>8006</v>
      </c>
    </row>
    <row r="423" spans="1:11">
      <c r="A423" s="10">
        <v>5004</v>
      </c>
      <c r="B423" s="10">
        <v>1</v>
      </c>
      <c r="C423" s="10">
        <v>241</v>
      </c>
      <c r="D423" s="29">
        <v>995.33</v>
      </c>
      <c r="E423" s="29">
        <v>189.721</v>
      </c>
      <c r="F423" s="30">
        <v>45838</v>
      </c>
      <c r="G423" s="10">
        <v>0</v>
      </c>
      <c r="H423" s="10">
        <v>0</v>
      </c>
      <c r="I423" s="10">
        <v>0</v>
      </c>
      <c r="J423" t="s">
        <v>54</v>
      </c>
      <c r="K423" s="10">
        <v>8009</v>
      </c>
    </row>
    <row r="424" spans="1:11">
      <c r="A424" s="10">
        <v>5002</v>
      </c>
      <c r="B424" s="10">
        <v>1</v>
      </c>
      <c r="C424" s="10">
        <v>86</v>
      </c>
      <c r="D424" s="29">
        <v>1153.26</v>
      </c>
      <c r="E424" s="29">
        <v>395.44499999999999</v>
      </c>
      <c r="F424" s="30">
        <v>45412</v>
      </c>
      <c r="G424" s="10">
        <v>0</v>
      </c>
      <c r="H424" s="10">
        <v>0</v>
      </c>
      <c r="I424" s="10">
        <v>0</v>
      </c>
      <c r="J424" t="s">
        <v>54</v>
      </c>
      <c r="K424" s="10">
        <v>8003</v>
      </c>
    </row>
    <row r="425" spans="1:11">
      <c r="A425" s="10">
        <v>5001</v>
      </c>
      <c r="B425" s="10">
        <v>1</v>
      </c>
      <c r="C425" s="10">
        <v>-294</v>
      </c>
      <c r="D425" s="29">
        <v>-2687.16</v>
      </c>
      <c r="E425" s="29">
        <v>0</v>
      </c>
      <c r="F425" s="30">
        <v>45565</v>
      </c>
      <c r="G425" s="10">
        <v>1</v>
      </c>
      <c r="H425" s="10">
        <v>1</v>
      </c>
      <c r="I425" s="10">
        <v>0</v>
      </c>
      <c r="J425" t="s">
        <v>2</v>
      </c>
      <c r="K425" s="10">
        <v>8007</v>
      </c>
    </row>
    <row r="426" spans="1:11">
      <c r="A426" s="10">
        <v>5017</v>
      </c>
      <c r="B426" s="10">
        <v>1</v>
      </c>
      <c r="C426" s="10">
        <v>64</v>
      </c>
      <c r="D426" s="29">
        <v>842.24</v>
      </c>
      <c r="E426" s="29">
        <v>156.93899999999999</v>
      </c>
      <c r="F426" s="30">
        <v>45991</v>
      </c>
      <c r="G426" s="10">
        <v>0</v>
      </c>
      <c r="H426" s="10">
        <v>0</v>
      </c>
      <c r="I426" s="10">
        <v>0</v>
      </c>
      <c r="J426" t="s">
        <v>54</v>
      </c>
      <c r="K426" s="10">
        <v>8010</v>
      </c>
    </row>
    <row r="427" spans="1:11">
      <c r="A427" s="10">
        <v>5003</v>
      </c>
      <c r="B427" s="10">
        <v>1</v>
      </c>
      <c r="C427" s="10">
        <v>130</v>
      </c>
      <c r="D427" s="29">
        <v>522.6</v>
      </c>
      <c r="E427" s="29">
        <v>88.975999999999999</v>
      </c>
      <c r="F427" s="30">
        <v>45535</v>
      </c>
      <c r="G427" s="10">
        <v>0</v>
      </c>
      <c r="H427" s="10">
        <v>0</v>
      </c>
      <c r="I427" s="10">
        <v>0</v>
      </c>
      <c r="J427" t="s">
        <v>54</v>
      </c>
      <c r="K427" s="10">
        <v>8029</v>
      </c>
    </row>
    <row r="428" spans="1:11">
      <c r="A428" s="10">
        <v>5016</v>
      </c>
      <c r="B428" s="10">
        <v>3</v>
      </c>
      <c r="C428" s="10">
        <v>-44</v>
      </c>
      <c r="D428" s="29">
        <v>-819.72</v>
      </c>
      <c r="E428" s="29">
        <v>-106.15600000000001</v>
      </c>
      <c r="F428" s="30">
        <v>45565</v>
      </c>
      <c r="G428" s="10">
        <v>1</v>
      </c>
      <c r="H428" s="10">
        <v>1</v>
      </c>
      <c r="I428" s="10">
        <v>0</v>
      </c>
      <c r="J428" t="s">
        <v>2</v>
      </c>
      <c r="K428" s="10">
        <v>8004</v>
      </c>
    </row>
    <row r="429" spans="1:11">
      <c r="A429" s="10">
        <v>5005</v>
      </c>
      <c r="B429" s="10">
        <v>3</v>
      </c>
      <c r="C429" s="10">
        <v>219</v>
      </c>
      <c r="D429" s="29">
        <v>845.34</v>
      </c>
      <c r="E429" s="29">
        <v>175.447</v>
      </c>
      <c r="F429" s="30">
        <v>45473</v>
      </c>
      <c r="G429" s="10">
        <v>0</v>
      </c>
      <c r="H429" s="10">
        <v>0</v>
      </c>
      <c r="I429" s="10">
        <v>0</v>
      </c>
      <c r="J429" t="s">
        <v>54</v>
      </c>
      <c r="K429" s="10">
        <v>8006</v>
      </c>
    </row>
    <row r="430" spans="1:11">
      <c r="A430" s="10">
        <v>5026</v>
      </c>
      <c r="B430" s="10">
        <v>2</v>
      </c>
      <c r="C430" s="10">
        <v>286</v>
      </c>
      <c r="D430" s="29">
        <v>5594.16</v>
      </c>
      <c r="E430" s="29">
        <v>2054.1559999999999</v>
      </c>
      <c r="F430" s="30">
        <v>45626</v>
      </c>
      <c r="G430" s="10">
        <v>0</v>
      </c>
      <c r="H430" s="10">
        <v>0</v>
      </c>
      <c r="I430" s="10">
        <v>0</v>
      </c>
      <c r="J430" t="s">
        <v>54</v>
      </c>
      <c r="K430" s="10">
        <v>8003</v>
      </c>
    </row>
    <row r="431" spans="1:11">
      <c r="A431" s="10">
        <v>5012</v>
      </c>
      <c r="B431" s="10">
        <v>6</v>
      </c>
      <c r="C431" s="10">
        <v>40</v>
      </c>
      <c r="D431" s="29">
        <v>441.6</v>
      </c>
      <c r="E431" s="29">
        <v>162.76900000000001</v>
      </c>
      <c r="F431" s="30">
        <v>45412</v>
      </c>
      <c r="G431" s="10">
        <v>0</v>
      </c>
      <c r="H431" s="10">
        <v>0</v>
      </c>
      <c r="I431" s="10">
        <v>0</v>
      </c>
      <c r="J431" t="s">
        <v>54</v>
      </c>
      <c r="K431" s="10">
        <v>8001</v>
      </c>
    </row>
    <row r="432" spans="1:11">
      <c r="A432" s="10">
        <v>5003</v>
      </c>
      <c r="B432" s="10">
        <v>2</v>
      </c>
      <c r="C432" s="10">
        <v>29</v>
      </c>
      <c r="D432" s="29">
        <v>493</v>
      </c>
      <c r="E432" s="29">
        <v>203.65600000000001</v>
      </c>
      <c r="F432" s="30">
        <v>45838</v>
      </c>
      <c r="G432" s="10">
        <v>0</v>
      </c>
      <c r="H432" s="10">
        <v>0</v>
      </c>
      <c r="I432" s="10">
        <v>0</v>
      </c>
      <c r="J432" t="s">
        <v>54</v>
      </c>
      <c r="K432" s="10">
        <v>8004</v>
      </c>
    </row>
    <row r="433" spans="1:11">
      <c r="A433" s="10">
        <v>5020</v>
      </c>
      <c r="B433" s="10">
        <v>2</v>
      </c>
      <c r="C433" s="10">
        <v>35</v>
      </c>
      <c r="D433" s="29">
        <v>266.35000000000002</v>
      </c>
      <c r="E433" s="29">
        <v>91.408000000000001</v>
      </c>
      <c r="F433" s="30">
        <v>45443</v>
      </c>
      <c r="G433" s="10">
        <v>0</v>
      </c>
      <c r="H433" s="10">
        <v>0</v>
      </c>
      <c r="I433" s="10">
        <v>0</v>
      </c>
      <c r="J433" t="s">
        <v>54</v>
      </c>
      <c r="K433" s="10">
        <v>8002</v>
      </c>
    </row>
    <row r="434" spans="1:11">
      <c r="A434" s="10">
        <v>5014</v>
      </c>
      <c r="B434" s="10">
        <v>2</v>
      </c>
      <c r="C434" s="10">
        <v>305</v>
      </c>
      <c r="D434" s="29">
        <v>5084.3500000000004</v>
      </c>
      <c r="E434" s="29">
        <v>1505.002</v>
      </c>
      <c r="F434" s="30">
        <v>45838</v>
      </c>
      <c r="G434" s="10">
        <v>0</v>
      </c>
      <c r="H434" s="10">
        <v>0</v>
      </c>
      <c r="I434" s="10">
        <v>0</v>
      </c>
      <c r="J434" t="s">
        <v>54</v>
      </c>
      <c r="K434" s="10">
        <v>8008</v>
      </c>
    </row>
    <row r="435" spans="1:11">
      <c r="A435" s="10">
        <v>5002</v>
      </c>
      <c r="B435" s="10">
        <v>1</v>
      </c>
      <c r="C435" s="10">
        <v>104</v>
      </c>
      <c r="D435" s="29">
        <v>1748.24</v>
      </c>
      <c r="E435" s="29">
        <v>661.09400000000005</v>
      </c>
      <c r="F435" s="30">
        <v>45869</v>
      </c>
      <c r="G435" s="10">
        <v>0</v>
      </c>
      <c r="H435" s="10">
        <v>0</v>
      </c>
      <c r="I435" s="10">
        <v>0</v>
      </c>
      <c r="J435" t="s">
        <v>54</v>
      </c>
      <c r="K435" s="10">
        <v>8010</v>
      </c>
    </row>
    <row r="436" spans="1:11">
      <c r="A436" s="10">
        <v>5029</v>
      </c>
      <c r="B436" s="10">
        <v>3</v>
      </c>
      <c r="C436" s="10">
        <v>55</v>
      </c>
      <c r="D436" s="29">
        <v>1135.2</v>
      </c>
      <c r="E436" s="29">
        <v>438.24200000000002</v>
      </c>
      <c r="F436" s="30">
        <v>45747</v>
      </c>
      <c r="G436" s="10">
        <v>0</v>
      </c>
      <c r="H436" s="10">
        <v>0</v>
      </c>
      <c r="I436" s="10">
        <v>0</v>
      </c>
      <c r="J436" t="s">
        <v>54</v>
      </c>
      <c r="K436" s="10">
        <v>8001</v>
      </c>
    </row>
    <row r="437" spans="1:11">
      <c r="A437" s="10">
        <v>5007</v>
      </c>
      <c r="B437" s="10">
        <v>6</v>
      </c>
      <c r="C437" s="10">
        <v>24</v>
      </c>
      <c r="D437" s="29">
        <v>161.76</v>
      </c>
      <c r="E437" s="29">
        <v>42.841999999999999</v>
      </c>
      <c r="F437" s="30">
        <v>45382</v>
      </c>
      <c r="G437" s="10">
        <v>0</v>
      </c>
      <c r="H437" s="10">
        <v>0</v>
      </c>
      <c r="I437" s="10">
        <v>0</v>
      </c>
      <c r="J437" t="s">
        <v>54</v>
      </c>
      <c r="K437" s="10">
        <v>8003</v>
      </c>
    </row>
    <row r="438" spans="1:11">
      <c r="A438" s="10">
        <v>5007</v>
      </c>
      <c r="B438" s="10">
        <v>2</v>
      </c>
      <c r="C438" s="10">
        <v>232</v>
      </c>
      <c r="D438" s="29">
        <v>2719.04</v>
      </c>
      <c r="E438" s="29">
        <v>786.66499999999996</v>
      </c>
      <c r="F438" s="30">
        <v>45535</v>
      </c>
      <c r="G438" s="10">
        <v>0</v>
      </c>
      <c r="H438" s="10">
        <v>0</v>
      </c>
      <c r="I438" s="10">
        <v>0</v>
      </c>
      <c r="J438" t="s">
        <v>54</v>
      </c>
      <c r="K438" s="10">
        <v>8016</v>
      </c>
    </row>
    <row r="439" spans="1:11">
      <c r="A439" s="10">
        <v>5002</v>
      </c>
      <c r="B439" s="10">
        <v>2</v>
      </c>
      <c r="C439" s="10">
        <v>7</v>
      </c>
      <c r="D439" s="29">
        <v>26.74</v>
      </c>
      <c r="E439" s="29">
        <v>8.5820000000000007</v>
      </c>
      <c r="F439" s="30">
        <v>45838</v>
      </c>
      <c r="G439" s="10">
        <v>0</v>
      </c>
      <c r="H439" s="10">
        <v>0</v>
      </c>
      <c r="I439" s="10">
        <v>0</v>
      </c>
      <c r="J439" t="s">
        <v>54</v>
      </c>
      <c r="K439" s="10">
        <v>8005</v>
      </c>
    </row>
    <row r="440" spans="1:11">
      <c r="A440" s="10">
        <v>5008</v>
      </c>
      <c r="B440" s="10">
        <v>3</v>
      </c>
      <c r="C440" s="10">
        <v>-281</v>
      </c>
      <c r="D440" s="29">
        <v>-2773.47</v>
      </c>
      <c r="E440" s="29">
        <v>0</v>
      </c>
      <c r="F440" s="30">
        <v>45596</v>
      </c>
      <c r="G440" s="10">
        <v>1</v>
      </c>
      <c r="H440" s="10">
        <v>1</v>
      </c>
      <c r="I440" s="10">
        <v>0</v>
      </c>
      <c r="J440" t="s">
        <v>2</v>
      </c>
      <c r="K440" s="10">
        <v>8003</v>
      </c>
    </row>
    <row r="441" spans="1:11">
      <c r="A441" s="10">
        <v>5009</v>
      </c>
      <c r="B441" s="10">
        <v>2</v>
      </c>
      <c r="C441" s="10">
        <v>183</v>
      </c>
      <c r="D441" s="29">
        <v>3237.27</v>
      </c>
      <c r="E441" s="29">
        <v>1157.075</v>
      </c>
      <c r="F441" s="30">
        <v>45657</v>
      </c>
      <c r="G441" s="10">
        <v>0</v>
      </c>
      <c r="H441" s="10">
        <v>0</v>
      </c>
      <c r="I441" s="10">
        <v>0</v>
      </c>
      <c r="J441" t="s">
        <v>54</v>
      </c>
      <c r="K441" s="10">
        <v>8009</v>
      </c>
    </row>
    <row r="442" spans="1:11">
      <c r="A442" s="10">
        <v>5005</v>
      </c>
      <c r="B442" s="10">
        <v>6</v>
      </c>
      <c r="C442" s="10">
        <v>55</v>
      </c>
      <c r="D442" s="29">
        <v>736.45</v>
      </c>
      <c r="E442" s="29">
        <v>126.59699999999999</v>
      </c>
      <c r="F442" s="30">
        <v>45504</v>
      </c>
      <c r="G442" s="10">
        <v>0</v>
      </c>
      <c r="H442" s="10">
        <v>0</v>
      </c>
      <c r="I442" s="10">
        <v>0</v>
      </c>
      <c r="J442" t="s">
        <v>54</v>
      </c>
      <c r="K442" s="10">
        <v>8017</v>
      </c>
    </row>
    <row r="443" spans="1:11">
      <c r="A443" s="10">
        <v>5002</v>
      </c>
      <c r="B443" s="10">
        <v>3</v>
      </c>
      <c r="C443" s="10">
        <v>46</v>
      </c>
      <c r="D443" s="29">
        <v>706.56</v>
      </c>
      <c r="E443" s="29">
        <v>283.93599999999998</v>
      </c>
      <c r="F443" s="30">
        <v>45473</v>
      </c>
      <c r="G443" s="10">
        <v>0</v>
      </c>
      <c r="H443" s="10">
        <v>0</v>
      </c>
      <c r="I443" s="10">
        <v>0</v>
      </c>
      <c r="J443" t="s">
        <v>54</v>
      </c>
      <c r="K443" s="10">
        <v>8012</v>
      </c>
    </row>
    <row r="444" spans="1:11">
      <c r="A444" s="10">
        <v>5007</v>
      </c>
      <c r="B444" s="10">
        <v>3</v>
      </c>
      <c r="C444" s="10">
        <v>58</v>
      </c>
      <c r="D444" s="29">
        <v>638</v>
      </c>
      <c r="E444" s="29">
        <v>240.999</v>
      </c>
      <c r="F444" s="30">
        <v>45626</v>
      </c>
      <c r="G444" s="10">
        <v>0</v>
      </c>
      <c r="H444" s="10">
        <v>0</v>
      </c>
      <c r="I444" s="10">
        <v>0</v>
      </c>
      <c r="J444" t="s">
        <v>54</v>
      </c>
      <c r="K444" s="10">
        <v>8015</v>
      </c>
    </row>
    <row r="445" spans="1:11">
      <c r="A445" s="10">
        <v>5014</v>
      </c>
      <c r="B445" s="10">
        <v>3</v>
      </c>
      <c r="C445" s="10">
        <v>260</v>
      </c>
      <c r="D445" s="29">
        <v>1245.4000000000001</v>
      </c>
      <c r="E445" s="29">
        <v>370.99799999999999</v>
      </c>
      <c r="F445" s="30">
        <v>45777</v>
      </c>
      <c r="G445" s="10">
        <v>0</v>
      </c>
      <c r="H445" s="10">
        <v>0</v>
      </c>
      <c r="I445" s="10">
        <v>0</v>
      </c>
      <c r="J445" t="s">
        <v>54</v>
      </c>
      <c r="K445" s="10">
        <v>8006</v>
      </c>
    </row>
    <row r="446" spans="1:11">
      <c r="A446" s="10">
        <v>5022</v>
      </c>
      <c r="B446" s="10">
        <v>2</v>
      </c>
      <c r="C446" s="10">
        <v>129</v>
      </c>
      <c r="D446" s="29">
        <v>2870.25</v>
      </c>
      <c r="E446" s="29">
        <v>890.995</v>
      </c>
      <c r="F446" s="30">
        <v>45351</v>
      </c>
      <c r="G446" s="10">
        <v>0</v>
      </c>
      <c r="H446" s="10">
        <v>0</v>
      </c>
      <c r="I446" s="10">
        <v>0</v>
      </c>
      <c r="J446" t="s">
        <v>54</v>
      </c>
      <c r="K446" s="10">
        <v>8017</v>
      </c>
    </row>
    <row r="447" spans="1:11">
      <c r="A447" s="10">
        <v>5002</v>
      </c>
      <c r="B447" s="10">
        <v>3</v>
      </c>
      <c r="C447" s="10">
        <v>221</v>
      </c>
      <c r="D447" s="29">
        <v>2870.79</v>
      </c>
      <c r="E447" s="29">
        <v>1190.431</v>
      </c>
      <c r="F447" s="30">
        <v>45900</v>
      </c>
      <c r="G447" s="10">
        <v>0</v>
      </c>
      <c r="H447" s="10">
        <v>0</v>
      </c>
      <c r="I447" s="10">
        <v>0</v>
      </c>
      <c r="J447" t="s">
        <v>54</v>
      </c>
      <c r="K447" s="10">
        <v>8005</v>
      </c>
    </row>
    <row r="448" spans="1:11">
      <c r="A448" s="10">
        <v>5014</v>
      </c>
      <c r="B448" s="10">
        <v>6</v>
      </c>
      <c r="C448" s="10">
        <v>243</v>
      </c>
      <c r="D448" s="29">
        <v>2879.55</v>
      </c>
      <c r="E448" s="29">
        <v>769.74400000000003</v>
      </c>
      <c r="F448" s="30">
        <v>45991</v>
      </c>
      <c r="G448" s="10">
        <v>0</v>
      </c>
      <c r="H448" s="10">
        <v>0</v>
      </c>
      <c r="I448" s="10">
        <v>0</v>
      </c>
      <c r="J448" t="s">
        <v>54</v>
      </c>
      <c r="K448" s="10">
        <v>8003</v>
      </c>
    </row>
    <row r="449" spans="1:11">
      <c r="A449" s="10">
        <v>5013</v>
      </c>
      <c r="B449" s="10">
        <v>3</v>
      </c>
      <c r="C449" s="10">
        <v>212</v>
      </c>
      <c r="D449" s="29">
        <v>3731.2</v>
      </c>
      <c r="E449" s="29">
        <v>1210.6690000000001</v>
      </c>
      <c r="F449" s="30">
        <v>45869</v>
      </c>
      <c r="G449" s="10">
        <v>0</v>
      </c>
      <c r="H449" s="10">
        <v>0</v>
      </c>
      <c r="I449" s="10">
        <v>0</v>
      </c>
      <c r="J449" t="s">
        <v>54</v>
      </c>
      <c r="K449" s="10">
        <v>8004</v>
      </c>
    </row>
    <row r="450" spans="1:11">
      <c r="A450" s="10">
        <v>5010</v>
      </c>
      <c r="B450" s="10">
        <v>2</v>
      </c>
      <c r="C450" s="10">
        <v>170</v>
      </c>
      <c r="D450" s="29">
        <v>4010.3</v>
      </c>
      <c r="E450" s="29">
        <v>1640.874</v>
      </c>
      <c r="F450" s="30">
        <v>45504</v>
      </c>
      <c r="G450" s="10">
        <v>0</v>
      </c>
      <c r="H450" s="10">
        <v>0</v>
      </c>
      <c r="I450" s="10">
        <v>0</v>
      </c>
      <c r="J450" t="s">
        <v>54</v>
      </c>
      <c r="K450" s="10">
        <v>8004</v>
      </c>
    </row>
    <row r="451" spans="1:11">
      <c r="A451" s="10">
        <v>5012</v>
      </c>
      <c r="B451" s="10">
        <v>1</v>
      </c>
      <c r="C451" s="10">
        <v>105</v>
      </c>
      <c r="D451" s="29">
        <v>1308.3</v>
      </c>
      <c r="E451" s="29">
        <v>436.267</v>
      </c>
      <c r="F451" s="30">
        <v>45688</v>
      </c>
      <c r="G451" s="10">
        <v>0</v>
      </c>
      <c r="H451" s="10">
        <v>0</v>
      </c>
      <c r="I451" s="10">
        <v>0</v>
      </c>
      <c r="J451" t="s">
        <v>54</v>
      </c>
      <c r="K451" s="10">
        <v>8004</v>
      </c>
    </row>
    <row r="452" spans="1:11">
      <c r="A452" s="10">
        <v>5013</v>
      </c>
      <c r="B452" s="10">
        <v>1</v>
      </c>
      <c r="C452" s="10">
        <v>311</v>
      </c>
      <c r="D452" s="29">
        <v>6139.14</v>
      </c>
      <c r="E452" s="29">
        <v>1022.601</v>
      </c>
      <c r="F452" s="30">
        <v>45626</v>
      </c>
      <c r="G452" s="10">
        <v>0</v>
      </c>
      <c r="H452" s="10">
        <v>0</v>
      </c>
      <c r="I452" s="10">
        <v>0</v>
      </c>
      <c r="J452" t="s">
        <v>54</v>
      </c>
      <c r="K452" s="10">
        <v>8017</v>
      </c>
    </row>
    <row r="453" spans="1:11">
      <c r="A453" s="10">
        <v>5011</v>
      </c>
      <c r="B453" s="10">
        <v>4</v>
      </c>
      <c r="C453" s="10">
        <v>51</v>
      </c>
      <c r="D453" s="29">
        <v>416.16</v>
      </c>
      <c r="E453" s="29">
        <v>157.40799999999999</v>
      </c>
      <c r="F453" s="30">
        <v>45443</v>
      </c>
      <c r="G453" s="10">
        <v>0</v>
      </c>
      <c r="H453" s="10">
        <v>0</v>
      </c>
      <c r="I453" s="10">
        <v>0</v>
      </c>
      <c r="J453" t="s">
        <v>54</v>
      </c>
      <c r="K453" s="10">
        <v>8003</v>
      </c>
    </row>
    <row r="454" spans="1:11">
      <c r="A454" s="10">
        <v>5004</v>
      </c>
      <c r="B454" s="10">
        <v>1</v>
      </c>
      <c r="C454" s="10">
        <v>234</v>
      </c>
      <c r="D454" s="29">
        <v>954.72</v>
      </c>
      <c r="E454" s="29">
        <v>336.31700000000001</v>
      </c>
      <c r="F454" s="30">
        <v>45869</v>
      </c>
      <c r="G454" s="10">
        <v>0</v>
      </c>
      <c r="H454" s="10">
        <v>0</v>
      </c>
      <c r="I454" s="10">
        <v>0</v>
      </c>
      <c r="J454" t="s">
        <v>54</v>
      </c>
      <c r="K454" s="10">
        <v>8014</v>
      </c>
    </row>
    <row r="455" spans="1:11">
      <c r="A455" s="10">
        <v>5013</v>
      </c>
      <c r="B455" s="10">
        <v>1</v>
      </c>
      <c r="C455" s="10">
        <v>279</v>
      </c>
      <c r="D455" s="29">
        <v>5448.87</v>
      </c>
      <c r="E455" s="29">
        <v>1813.211</v>
      </c>
      <c r="F455" s="30">
        <v>45991</v>
      </c>
      <c r="G455" s="10">
        <v>0</v>
      </c>
      <c r="H455" s="10">
        <v>0</v>
      </c>
      <c r="I455" s="10">
        <v>0</v>
      </c>
      <c r="J455" t="s">
        <v>54</v>
      </c>
      <c r="K455" s="10">
        <v>8008</v>
      </c>
    </row>
    <row r="456" spans="1:11">
      <c r="A456" s="10">
        <v>5005</v>
      </c>
      <c r="B456" s="10">
        <v>6</v>
      </c>
      <c r="C456" s="10">
        <v>-72</v>
      </c>
      <c r="D456" s="29">
        <v>-1012.32</v>
      </c>
      <c r="E456" s="29">
        <v>0</v>
      </c>
      <c r="F456" s="30">
        <v>45991</v>
      </c>
      <c r="G456" s="10">
        <v>1</v>
      </c>
      <c r="H456" s="10">
        <v>1</v>
      </c>
      <c r="I456" s="10">
        <v>0</v>
      </c>
      <c r="J456" t="s">
        <v>2</v>
      </c>
      <c r="K456" s="10">
        <v>8025</v>
      </c>
    </row>
    <row r="457" spans="1:11">
      <c r="A457" s="10">
        <v>5015</v>
      </c>
      <c r="B457" s="10">
        <v>4</v>
      </c>
      <c r="C457" s="10">
        <v>215</v>
      </c>
      <c r="D457" s="29">
        <v>3749.6</v>
      </c>
      <c r="E457" s="29">
        <v>1336.087</v>
      </c>
      <c r="F457" s="30">
        <v>45808</v>
      </c>
      <c r="G457" s="10">
        <v>0</v>
      </c>
      <c r="H457" s="10">
        <v>0</v>
      </c>
      <c r="I457" s="10">
        <v>0</v>
      </c>
      <c r="J457" t="s">
        <v>54</v>
      </c>
      <c r="K457" s="10">
        <v>8018</v>
      </c>
    </row>
    <row r="458" spans="1:11">
      <c r="A458" s="10">
        <v>5010</v>
      </c>
      <c r="B458" s="10">
        <v>6</v>
      </c>
      <c r="C458" s="10">
        <v>56</v>
      </c>
      <c r="D458" s="29">
        <v>321.44</v>
      </c>
      <c r="E458" s="29">
        <v>67.057000000000002</v>
      </c>
      <c r="F458" s="30">
        <v>45747</v>
      </c>
      <c r="G458" s="10">
        <v>0</v>
      </c>
      <c r="H458" s="10">
        <v>0</v>
      </c>
      <c r="I458" s="10">
        <v>0</v>
      </c>
      <c r="J458" t="s">
        <v>54</v>
      </c>
      <c r="K458" s="10">
        <v>8015</v>
      </c>
    </row>
    <row r="459" spans="1:11">
      <c r="A459" s="10">
        <v>5008</v>
      </c>
      <c r="B459" s="10">
        <v>2</v>
      </c>
      <c r="C459" s="10">
        <v>140</v>
      </c>
      <c r="D459" s="29">
        <v>656.6</v>
      </c>
      <c r="E459" s="29">
        <v>148.59100000000001</v>
      </c>
      <c r="F459" s="30">
        <v>45473</v>
      </c>
      <c r="G459" s="10">
        <v>0</v>
      </c>
      <c r="H459" s="10">
        <v>0</v>
      </c>
      <c r="I459" s="10">
        <v>0</v>
      </c>
      <c r="J459" t="s">
        <v>54</v>
      </c>
      <c r="K459" s="10">
        <v>8004</v>
      </c>
    </row>
    <row r="460" spans="1:11">
      <c r="A460" s="10">
        <v>5012</v>
      </c>
      <c r="B460" s="10">
        <v>1</v>
      </c>
      <c r="C460" s="10">
        <v>109</v>
      </c>
      <c r="D460" s="29">
        <v>319.37</v>
      </c>
      <c r="E460" s="29">
        <v>102.217</v>
      </c>
      <c r="F460" s="30">
        <v>45596</v>
      </c>
      <c r="G460" s="10">
        <v>0</v>
      </c>
      <c r="H460" s="10">
        <v>0</v>
      </c>
      <c r="I460" s="10">
        <v>0</v>
      </c>
      <c r="J460" t="s">
        <v>54</v>
      </c>
      <c r="K460" s="10">
        <v>8002</v>
      </c>
    </row>
    <row r="461" spans="1:11">
      <c r="A461" s="10">
        <v>5007</v>
      </c>
      <c r="B461" s="10">
        <v>2</v>
      </c>
      <c r="C461" s="10">
        <v>204</v>
      </c>
      <c r="D461" s="29">
        <v>1807.44</v>
      </c>
      <c r="E461" s="29">
        <v>375.59699999999998</v>
      </c>
      <c r="F461" s="30">
        <v>45838</v>
      </c>
      <c r="G461" s="10">
        <v>0</v>
      </c>
      <c r="H461" s="10">
        <v>0</v>
      </c>
      <c r="I461" s="10">
        <v>0</v>
      </c>
      <c r="J461" t="s">
        <v>54</v>
      </c>
      <c r="K461" s="10">
        <v>8008</v>
      </c>
    </row>
    <row r="462" spans="1:11">
      <c r="A462" s="10">
        <v>5008</v>
      </c>
      <c r="B462" s="10">
        <v>2</v>
      </c>
      <c r="C462" s="10">
        <v>47</v>
      </c>
      <c r="D462" s="29">
        <v>315.37</v>
      </c>
      <c r="E462" s="29">
        <v>77.671999999999997</v>
      </c>
      <c r="F462" s="30">
        <v>45382</v>
      </c>
      <c r="G462" s="10">
        <v>0</v>
      </c>
      <c r="H462" s="10">
        <v>0</v>
      </c>
      <c r="I462" s="10">
        <v>0</v>
      </c>
      <c r="J462" t="s">
        <v>54</v>
      </c>
      <c r="K462" s="10">
        <v>8005</v>
      </c>
    </row>
    <row r="463" spans="1:11">
      <c r="A463" s="10">
        <v>5003</v>
      </c>
      <c r="B463" s="10">
        <v>2</v>
      </c>
      <c r="C463" s="10">
        <v>417</v>
      </c>
      <c r="D463" s="29">
        <v>8377.5300000000007</v>
      </c>
      <c r="E463" s="29">
        <v>1359.5809999999999</v>
      </c>
      <c r="F463" s="30">
        <v>45626</v>
      </c>
      <c r="G463" s="10">
        <v>0</v>
      </c>
      <c r="H463" s="10">
        <v>0</v>
      </c>
      <c r="I463" s="10">
        <v>0</v>
      </c>
      <c r="J463" t="s">
        <v>54</v>
      </c>
      <c r="K463" s="10">
        <v>8014</v>
      </c>
    </row>
    <row r="464" spans="1:11">
      <c r="A464" s="10">
        <v>5007</v>
      </c>
      <c r="B464" s="10">
        <v>3</v>
      </c>
      <c r="C464" s="10">
        <v>142</v>
      </c>
      <c r="D464" s="29">
        <v>3278.78</v>
      </c>
      <c r="E464" s="29">
        <v>798.19799999999998</v>
      </c>
      <c r="F464" s="30">
        <v>45838</v>
      </c>
      <c r="G464" s="10">
        <v>0</v>
      </c>
      <c r="H464" s="10">
        <v>0</v>
      </c>
      <c r="I464" s="10">
        <v>0</v>
      </c>
      <c r="J464" t="s">
        <v>54</v>
      </c>
      <c r="K464" s="10">
        <v>8020</v>
      </c>
    </row>
    <row r="465" spans="1:11">
      <c r="A465" s="10">
        <v>5024</v>
      </c>
      <c r="B465" s="10">
        <v>2</v>
      </c>
      <c r="C465" s="10">
        <v>104</v>
      </c>
      <c r="D465" s="29">
        <v>2291.12</v>
      </c>
      <c r="E465" s="29">
        <v>589.93799999999999</v>
      </c>
      <c r="F465" s="30">
        <v>45991</v>
      </c>
      <c r="G465" s="10">
        <v>0</v>
      </c>
      <c r="H465" s="10">
        <v>0</v>
      </c>
      <c r="I465" s="10">
        <v>0</v>
      </c>
      <c r="J465" t="s">
        <v>54</v>
      </c>
      <c r="K465" s="10">
        <v>8004</v>
      </c>
    </row>
    <row r="466" spans="1:11">
      <c r="A466" s="10">
        <v>5007</v>
      </c>
      <c r="B466" s="10">
        <v>5</v>
      </c>
      <c r="C466" s="10">
        <v>54</v>
      </c>
      <c r="D466" s="29">
        <v>713.34</v>
      </c>
      <c r="E466" s="29">
        <v>145.18100000000001</v>
      </c>
      <c r="F466" s="30">
        <v>45961</v>
      </c>
      <c r="G466" s="10">
        <v>0</v>
      </c>
      <c r="H466" s="10">
        <v>0</v>
      </c>
      <c r="I466" s="10">
        <v>0</v>
      </c>
      <c r="J466" t="s">
        <v>54</v>
      </c>
      <c r="K466" s="10">
        <v>8001</v>
      </c>
    </row>
    <row r="467" spans="1:11">
      <c r="A467" s="10">
        <v>5008</v>
      </c>
      <c r="B467" s="10">
        <v>1</v>
      </c>
      <c r="C467" s="10">
        <v>203</v>
      </c>
      <c r="D467" s="29">
        <v>3850.91</v>
      </c>
      <c r="E467" s="29">
        <v>1040.8800000000001</v>
      </c>
      <c r="F467" s="30">
        <v>46022</v>
      </c>
      <c r="G467" s="10">
        <v>0</v>
      </c>
      <c r="H467" s="10">
        <v>0</v>
      </c>
      <c r="I467" s="10">
        <v>0</v>
      </c>
      <c r="J467" t="s">
        <v>54</v>
      </c>
      <c r="K467" s="10">
        <v>8001</v>
      </c>
    </row>
    <row r="468" spans="1:11">
      <c r="A468" s="10">
        <v>5008</v>
      </c>
      <c r="B468" s="10">
        <v>6</v>
      </c>
      <c r="C468" s="10">
        <v>132</v>
      </c>
      <c r="D468" s="29">
        <v>2131.8000000000002</v>
      </c>
      <c r="E468" s="29">
        <v>755.06600000000003</v>
      </c>
      <c r="F468" s="30">
        <v>45412</v>
      </c>
      <c r="G468" s="10">
        <v>0</v>
      </c>
      <c r="H468" s="10">
        <v>0</v>
      </c>
      <c r="I468" s="10">
        <v>0</v>
      </c>
      <c r="J468" t="s">
        <v>54</v>
      </c>
      <c r="K468" s="10">
        <v>8012</v>
      </c>
    </row>
    <row r="469" spans="1:11">
      <c r="A469" s="10">
        <v>5007</v>
      </c>
      <c r="B469" s="10">
        <v>1</v>
      </c>
      <c r="C469" s="10">
        <v>41</v>
      </c>
      <c r="D469" s="29">
        <v>796.63</v>
      </c>
      <c r="E469" s="29">
        <v>246.54900000000001</v>
      </c>
      <c r="F469" s="30">
        <v>45473</v>
      </c>
      <c r="G469" s="10">
        <v>0</v>
      </c>
      <c r="H469" s="10">
        <v>0</v>
      </c>
      <c r="I469" s="10">
        <v>0</v>
      </c>
      <c r="J469" t="s">
        <v>54</v>
      </c>
      <c r="K469" s="10">
        <v>8004</v>
      </c>
    </row>
    <row r="470" spans="1:11">
      <c r="A470" s="10">
        <v>5004</v>
      </c>
      <c r="B470" s="10">
        <v>3</v>
      </c>
      <c r="C470" s="10">
        <v>102</v>
      </c>
      <c r="D470" s="29">
        <v>221.34</v>
      </c>
      <c r="E470" s="29">
        <v>66.192999999999998</v>
      </c>
      <c r="F470" s="30">
        <v>45535</v>
      </c>
      <c r="G470" s="10">
        <v>0</v>
      </c>
      <c r="H470" s="10">
        <v>0</v>
      </c>
      <c r="I470" s="10">
        <v>0</v>
      </c>
      <c r="J470" t="s">
        <v>54</v>
      </c>
      <c r="K470" s="10">
        <v>8005</v>
      </c>
    </row>
    <row r="471" spans="1:11">
      <c r="A471" s="10">
        <v>5010</v>
      </c>
      <c r="B471" s="10">
        <v>3</v>
      </c>
      <c r="C471" s="10">
        <v>162</v>
      </c>
      <c r="D471" s="29">
        <v>552.41999999999996</v>
      </c>
      <c r="E471" s="29">
        <v>103.631</v>
      </c>
      <c r="F471" s="30">
        <v>45808</v>
      </c>
      <c r="G471" s="10">
        <v>0</v>
      </c>
      <c r="H471" s="10">
        <v>0</v>
      </c>
      <c r="I471" s="10">
        <v>0</v>
      </c>
      <c r="J471" t="s">
        <v>54</v>
      </c>
      <c r="K471" s="10">
        <v>8014</v>
      </c>
    </row>
    <row r="472" spans="1:11">
      <c r="A472" s="10">
        <v>5004</v>
      </c>
      <c r="B472" s="10">
        <v>4</v>
      </c>
      <c r="C472" s="10">
        <v>95</v>
      </c>
      <c r="D472" s="29">
        <v>1004.15</v>
      </c>
      <c r="E472" s="29">
        <v>284.41199999999998</v>
      </c>
      <c r="F472" s="30">
        <v>45930</v>
      </c>
      <c r="G472" s="10">
        <v>0</v>
      </c>
      <c r="H472" s="10">
        <v>0</v>
      </c>
      <c r="I472" s="10">
        <v>0</v>
      </c>
      <c r="J472" t="s">
        <v>54</v>
      </c>
      <c r="K472" s="10">
        <v>8001</v>
      </c>
    </row>
    <row r="473" spans="1:11">
      <c r="A473" s="10">
        <v>5002</v>
      </c>
      <c r="B473" s="10">
        <v>4</v>
      </c>
      <c r="C473" s="10">
        <v>115</v>
      </c>
      <c r="D473" s="29">
        <v>2657.65</v>
      </c>
      <c r="E473" s="29">
        <v>893.22299999999996</v>
      </c>
      <c r="F473" s="30">
        <v>45716</v>
      </c>
      <c r="G473" s="10">
        <v>0</v>
      </c>
      <c r="H473" s="10">
        <v>0</v>
      </c>
      <c r="I473" s="10">
        <v>0</v>
      </c>
      <c r="J473" t="s">
        <v>54</v>
      </c>
      <c r="K473" s="10">
        <v>8005</v>
      </c>
    </row>
    <row r="474" spans="1:11">
      <c r="A474" s="10">
        <v>5015</v>
      </c>
      <c r="B474" s="10">
        <v>2</v>
      </c>
      <c r="C474" s="10">
        <v>351</v>
      </c>
      <c r="D474" s="29">
        <v>4945.59</v>
      </c>
      <c r="E474" s="29">
        <v>949.75699999999995</v>
      </c>
      <c r="F474" s="30">
        <v>45991</v>
      </c>
      <c r="G474" s="10">
        <v>0</v>
      </c>
      <c r="H474" s="10">
        <v>0</v>
      </c>
      <c r="I474" s="10">
        <v>0</v>
      </c>
      <c r="J474" t="s">
        <v>54</v>
      </c>
      <c r="K474" s="10">
        <v>8013</v>
      </c>
    </row>
    <row r="475" spans="1:11">
      <c r="A475" s="10">
        <v>5010</v>
      </c>
      <c r="B475" s="10">
        <v>6</v>
      </c>
      <c r="C475" s="10">
        <v>57</v>
      </c>
      <c r="D475" s="29">
        <v>1049.3699999999999</v>
      </c>
      <c r="E475" s="29">
        <v>261.714</v>
      </c>
      <c r="F475" s="30">
        <v>45322</v>
      </c>
      <c r="G475" s="10">
        <v>0</v>
      </c>
      <c r="H475" s="10">
        <v>0</v>
      </c>
      <c r="I475" s="10">
        <v>0</v>
      </c>
      <c r="J475" t="s">
        <v>54</v>
      </c>
      <c r="K475" s="10">
        <v>8008</v>
      </c>
    </row>
    <row r="476" spans="1:11">
      <c r="A476" s="10">
        <v>5011</v>
      </c>
      <c r="B476" s="10">
        <v>1</v>
      </c>
      <c r="C476" s="10">
        <v>97</v>
      </c>
      <c r="D476" s="29">
        <v>1972.01</v>
      </c>
      <c r="E476" s="29">
        <v>408.50799999999998</v>
      </c>
      <c r="F476" s="30">
        <v>45626</v>
      </c>
      <c r="G476" s="10">
        <v>0</v>
      </c>
      <c r="H476" s="10">
        <v>0</v>
      </c>
      <c r="I476" s="10">
        <v>0</v>
      </c>
      <c r="J476" t="s">
        <v>54</v>
      </c>
      <c r="K476" s="10">
        <v>8007</v>
      </c>
    </row>
    <row r="477" spans="1:11">
      <c r="A477" s="10">
        <v>5018</v>
      </c>
      <c r="B477" s="10">
        <v>5</v>
      </c>
      <c r="C477" s="10">
        <v>269</v>
      </c>
      <c r="D477" s="29">
        <v>3238.76</v>
      </c>
      <c r="E477" s="29">
        <v>762.95399999999995</v>
      </c>
      <c r="F477" s="30">
        <v>45961</v>
      </c>
      <c r="G477" s="10">
        <v>0</v>
      </c>
      <c r="H477" s="10">
        <v>0</v>
      </c>
      <c r="I477" s="10">
        <v>0</v>
      </c>
      <c r="J477" t="s">
        <v>54</v>
      </c>
      <c r="K477" s="10">
        <v>8018</v>
      </c>
    </row>
    <row r="478" spans="1:11">
      <c r="A478" s="10">
        <v>5002</v>
      </c>
      <c r="B478" s="10">
        <v>2</v>
      </c>
      <c r="C478" s="10">
        <v>92</v>
      </c>
      <c r="D478" s="29">
        <v>427.8</v>
      </c>
      <c r="E478" s="29">
        <v>79.575999999999993</v>
      </c>
      <c r="F478" s="30">
        <v>45382</v>
      </c>
      <c r="G478" s="10">
        <v>0</v>
      </c>
      <c r="H478" s="10">
        <v>0</v>
      </c>
      <c r="I478" s="10">
        <v>0</v>
      </c>
      <c r="J478" t="s">
        <v>54</v>
      </c>
      <c r="K478" s="10">
        <v>8012</v>
      </c>
    </row>
    <row r="479" spans="1:11">
      <c r="A479" s="10">
        <v>5020</v>
      </c>
      <c r="B479" s="10">
        <v>2</v>
      </c>
      <c r="C479" s="10">
        <v>155</v>
      </c>
      <c r="D479" s="29">
        <v>1331.45</v>
      </c>
      <c r="E479" s="29">
        <v>408.81299999999999</v>
      </c>
      <c r="F479" s="30">
        <v>45808</v>
      </c>
      <c r="G479" s="10">
        <v>0</v>
      </c>
      <c r="H479" s="10">
        <v>0</v>
      </c>
      <c r="I479" s="10">
        <v>0</v>
      </c>
      <c r="J479" t="s">
        <v>54</v>
      </c>
      <c r="K479" s="10">
        <v>8004</v>
      </c>
    </row>
    <row r="480" spans="1:11">
      <c r="A480" s="10">
        <v>5004</v>
      </c>
      <c r="B480" s="10">
        <v>1</v>
      </c>
      <c r="C480" s="10">
        <v>104</v>
      </c>
      <c r="D480" s="29">
        <v>698.88</v>
      </c>
      <c r="E480" s="29">
        <v>191.06800000000001</v>
      </c>
      <c r="F480" s="30">
        <v>45626</v>
      </c>
      <c r="G480" s="10">
        <v>0</v>
      </c>
      <c r="H480" s="10">
        <v>0</v>
      </c>
      <c r="I480" s="10">
        <v>0</v>
      </c>
      <c r="J480" t="s">
        <v>54</v>
      </c>
      <c r="K480" s="10">
        <v>8005</v>
      </c>
    </row>
    <row r="481" spans="1:11">
      <c r="A481" s="10">
        <v>5002</v>
      </c>
      <c r="B481" s="10">
        <v>5</v>
      </c>
      <c r="C481" s="10">
        <v>98</v>
      </c>
      <c r="D481" s="29">
        <v>956.48</v>
      </c>
      <c r="E481" s="29">
        <v>290.22899999999998</v>
      </c>
      <c r="F481" s="30">
        <v>45961</v>
      </c>
      <c r="G481" s="10">
        <v>0</v>
      </c>
      <c r="H481" s="10">
        <v>0</v>
      </c>
      <c r="I481" s="10">
        <v>0</v>
      </c>
      <c r="J481" t="s">
        <v>54</v>
      </c>
      <c r="K481" s="10">
        <v>8013</v>
      </c>
    </row>
    <row r="482" spans="1:11">
      <c r="A482" s="10">
        <v>5010</v>
      </c>
      <c r="B482" s="10">
        <v>4</v>
      </c>
      <c r="C482" s="10">
        <v>48</v>
      </c>
      <c r="D482" s="29">
        <v>660.48</v>
      </c>
      <c r="E482" s="29">
        <v>257.88299999999998</v>
      </c>
      <c r="F482" s="30">
        <v>45473</v>
      </c>
      <c r="G482" s="10">
        <v>0</v>
      </c>
      <c r="H482" s="10">
        <v>0</v>
      </c>
      <c r="I482" s="10">
        <v>0</v>
      </c>
      <c r="J482" t="s">
        <v>54</v>
      </c>
      <c r="K482" s="10">
        <v>8017</v>
      </c>
    </row>
    <row r="483" spans="1:11">
      <c r="A483" s="10">
        <v>5001</v>
      </c>
      <c r="B483" s="10">
        <v>2</v>
      </c>
      <c r="C483" s="10">
        <v>30</v>
      </c>
      <c r="D483" s="29">
        <v>441.6</v>
      </c>
      <c r="E483" s="29">
        <v>138.40199999999999</v>
      </c>
      <c r="F483" s="30">
        <v>45382</v>
      </c>
      <c r="G483" s="10">
        <v>0</v>
      </c>
      <c r="H483" s="10">
        <v>0</v>
      </c>
      <c r="I483" s="10">
        <v>0</v>
      </c>
      <c r="J483" t="s">
        <v>54</v>
      </c>
      <c r="K483" s="10">
        <v>8001</v>
      </c>
    </row>
    <row r="484" spans="1:11">
      <c r="A484" s="10">
        <v>5009</v>
      </c>
      <c r="B484" s="10">
        <v>6</v>
      </c>
      <c r="C484" s="10">
        <v>99</v>
      </c>
      <c r="D484" s="29">
        <v>1881.99</v>
      </c>
      <c r="E484" s="29">
        <v>410.38600000000002</v>
      </c>
      <c r="F484" s="30">
        <v>45991</v>
      </c>
      <c r="G484" s="10">
        <v>0</v>
      </c>
      <c r="H484" s="10">
        <v>0</v>
      </c>
      <c r="I484" s="10">
        <v>0</v>
      </c>
      <c r="J484" t="s">
        <v>54</v>
      </c>
      <c r="K484" s="10">
        <v>8008</v>
      </c>
    </row>
    <row r="485" spans="1:11">
      <c r="A485" s="10">
        <v>5013</v>
      </c>
      <c r="B485" s="10">
        <v>2</v>
      </c>
      <c r="C485" s="10">
        <v>130</v>
      </c>
      <c r="D485" s="29">
        <v>1379.3</v>
      </c>
      <c r="E485" s="29">
        <v>458.33600000000001</v>
      </c>
      <c r="F485" s="30">
        <v>45930</v>
      </c>
      <c r="G485" s="10">
        <v>0</v>
      </c>
      <c r="H485" s="10">
        <v>0</v>
      </c>
      <c r="I485" s="10">
        <v>0</v>
      </c>
      <c r="J485" t="s">
        <v>54</v>
      </c>
      <c r="K485" s="10">
        <v>8004</v>
      </c>
    </row>
    <row r="486" spans="1:11">
      <c r="A486" s="10">
        <v>5016</v>
      </c>
      <c r="B486" s="10">
        <v>1</v>
      </c>
      <c r="C486" s="10">
        <v>178</v>
      </c>
      <c r="D486" s="29">
        <v>2084.38</v>
      </c>
      <c r="E486" s="29">
        <v>847.64499999999998</v>
      </c>
      <c r="F486" s="30">
        <v>45991</v>
      </c>
      <c r="G486" s="10">
        <v>0</v>
      </c>
      <c r="H486" s="10">
        <v>0</v>
      </c>
      <c r="I486" s="10">
        <v>0</v>
      </c>
      <c r="J486" t="s">
        <v>54</v>
      </c>
      <c r="K486" s="10">
        <v>8009</v>
      </c>
    </row>
    <row r="487" spans="1:11">
      <c r="A487" s="10">
        <v>5026</v>
      </c>
      <c r="B487" s="10">
        <v>2</v>
      </c>
      <c r="C487" s="10">
        <v>98</v>
      </c>
      <c r="D487" s="29">
        <v>652.67999999999995</v>
      </c>
      <c r="E487" s="29">
        <v>115.096</v>
      </c>
      <c r="F487" s="30">
        <v>45838</v>
      </c>
      <c r="G487" s="10">
        <v>0</v>
      </c>
      <c r="H487" s="10">
        <v>0</v>
      </c>
      <c r="I487" s="10">
        <v>0</v>
      </c>
      <c r="J487" t="s">
        <v>54</v>
      </c>
      <c r="K487" s="10">
        <v>8013</v>
      </c>
    </row>
    <row r="488" spans="1:11">
      <c r="A488" s="10">
        <v>5001</v>
      </c>
      <c r="B488" s="10">
        <v>5</v>
      </c>
      <c r="C488" s="10">
        <v>91</v>
      </c>
      <c r="D488" s="29">
        <v>1112.93</v>
      </c>
      <c r="E488" s="29">
        <v>191.506</v>
      </c>
      <c r="F488" s="30">
        <v>45626</v>
      </c>
      <c r="G488" s="10">
        <v>0</v>
      </c>
      <c r="H488" s="10">
        <v>0</v>
      </c>
      <c r="I488" s="10">
        <v>0</v>
      </c>
      <c r="J488" t="s">
        <v>54</v>
      </c>
      <c r="K488" s="10">
        <v>8003</v>
      </c>
    </row>
    <row r="489" spans="1:11">
      <c r="A489" s="10">
        <v>5005</v>
      </c>
      <c r="B489" s="10">
        <v>2</v>
      </c>
      <c r="C489" s="10">
        <v>243</v>
      </c>
      <c r="D489" s="29">
        <v>4940.1899999999996</v>
      </c>
      <c r="E489" s="29">
        <v>1489.6210000000001</v>
      </c>
      <c r="F489" s="30">
        <v>46022</v>
      </c>
      <c r="G489" s="10">
        <v>0</v>
      </c>
      <c r="H489" s="10">
        <v>0</v>
      </c>
      <c r="I489" s="10">
        <v>0</v>
      </c>
      <c r="J489" t="s">
        <v>54</v>
      </c>
      <c r="K489" s="10">
        <v>8012</v>
      </c>
    </row>
    <row r="490" spans="1:11">
      <c r="A490" s="10">
        <v>5011</v>
      </c>
      <c r="B490" s="10">
        <v>3</v>
      </c>
      <c r="C490" s="10">
        <v>203</v>
      </c>
      <c r="D490" s="29">
        <v>2693.81</v>
      </c>
      <c r="E490" s="29">
        <v>1066.434</v>
      </c>
      <c r="F490" s="30">
        <v>45473</v>
      </c>
      <c r="G490" s="10">
        <v>0</v>
      </c>
      <c r="H490" s="10">
        <v>0</v>
      </c>
      <c r="I490" s="10">
        <v>0</v>
      </c>
      <c r="J490" t="s">
        <v>54</v>
      </c>
      <c r="K490" s="10">
        <v>8004</v>
      </c>
    </row>
    <row r="491" spans="1:11">
      <c r="A491" s="10">
        <v>5005</v>
      </c>
      <c r="B491" s="10">
        <v>2</v>
      </c>
      <c r="C491" s="10">
        <v>123</v>
      </c>
      <c r="D491" s="29">
        <v>1870.83</v>
      </c>
      <c r="E491" s="29">
        <v>366.92899999999997</v>
      </c>
      <c r="F491" s="30">
        <v>45716</v>
      </c>
      <c r="G491" s="10">
        <v>0</v>
      </c>
      <c r="H491" s="10">
        <v>0</v>
      </c>
      <c r="I491" s="10">
        <v>0</v>
      </c>
      <c r="J491" t="s">
        <v>54</v>
      </c>
      <c r="K491" s="10">
        <v>8018</v>
      </c>
    </row>
    <row r="492" spans="1:11">
      <c r="A492" s="10">
        <v>5001</v>
      </c>
      <c r="B492" s="10">
        <v>1</v>
      </c>
      <c r="C492" s="10">
        <v>71</v>
      </c>
      <c r="D492" s="29">
        <v>698.64</v>
      </c>
      <c r="E492" s="29">
        <v>133.27699999999999</v>
      </c>
      <c r="F492" s="30">
        <v>45473</v>
      </c>
      <c r="G492" s="10">
        <v>0</v>
      </c>
      <c r="H492" s="10">
        <v>0</v>
      </c>
      <c r="I492" s="10">
        <v>0</v>
      </c>
      <c r="J492" t="s">
        <v>54</v>
      </c>
      <c r="K492" s="10">
        <v>8010</v>
      </c>
    </row>
    <row r="493" spans="1:11">
      <c r="A493" s="10">
        <v>5016</v>
      </c>
      <c r="B493" s="10">
        <v>2</v>
      </c>
      <c r="C493" s="10">
        <v>123</v>
      </c>
      <c r="D493" s="29">
        <v>797.04</v>
      </c>
      <c r="E493" s="29">
        <v>300.22500000000002</v>
      </c>
      <c r="F493" s="30">
        <v>45535</v>
      </c>
      <c r="G493" s="10">
        <v>0</v>
      </c>
      <c r="H493" s="10">
        <v>0</v>
      </c>
      <c r="I493" s="10">
        <v>0</v>
      </c>
      <c r="J493" t="s">
        <v>54</v>
      </c>
      <c r="K493" s="10">
        <v>8012</v>
      </c>
    </row>
    <row r="494" spans="1:11">
      <c r="A494" s="10">
        <v>5001</v>
      </c>
      <c r="B494" s="10">
        <v>1</v>
      </c>
      <c r="C494" s="10">
        <v>173</v>
      </c>
      <c r="D494" s="29">
        <v>461.91</v>
      </c>
      <c r="E494" s="29">
        <v>80.62</v>
      </c>
      <c r="F494" s="30">
        <v>45322</v>
      </c>
      <c r="G494" s="10">
        <v>0</v>
      </c>
      <c r="H494" s="10">
        <v>0</v>
      </c>
      <c r="I494" s="10">
        <v>0</v>
      </c>
      <c r="J494" t="s">
        <v>54</v>
      </c>
      <c r="K494" s="10">
        <v>8008</v>
      </c>
    </row>
    <row r="495" spans="1:11">
      <c r="A495" s="10">
        <v>5003</v>
      </c>
      <c r="B495" s="10">
        <v>3</v>
      </c>
      <c r="C495" s="10">
        <v>129</v>
      </c>
      <c r="D495" s="29">
        <v>285.08999999999997</v>
      </c>
      <c r="E495" s="29">
        <v>94.665000000000006</v>
      </c>
      <c r="F495" s="30">
        <v>45535</v>
      </c>
      <c r="G495" s="10">
        <v>0</v>
      </c>
      <c r="H495" s="10">
        <v>0</v>
      </c>
      <c r="I495" s="10">
        <v>0</v>
      </c>
      <c r="J495" t="s">
        <v>54</v>
      </c>
      <c r="K495" s="10">
        <v>8025</v>
      </c>
    </row>
    <row r="496" spans="1:11">
      <c r="A496" s="10">
        <v>5002</v>
      </c>
      <c r="B496" s="10">
        <v>6</v>
      </c>
      <c r="C496" s="10">
        <v>155</v>
      </c>
      <c r="D496" s="29">
        <v>866.45</v>
      </c>
      <c r="E496" s="29">
        <v>273.98700000000002</v>
      </c>
      <c r="F496" s="30">
        <v>45565</v>
      </c>
      <c r="G496" s="10">
        <v>0</v>
      </c>
      <c r="H496" s="10">
        <v>0</v>
      </c>
      <c r="I496" s="10">
        <v>0</v>
      </c>
      <c r="J496" t="s">
        <v>54</v>
      </c>
      <c r="K496" s="10">
        <v>8006</v>
      </c>
    </row>
    <row r="497" spans="1:11">
      <c r="A497" s="10">
        <v>5016</v>
      </c>
      <c r="B497" s="10">
        <v>3</v>
      </c>
      <c r="C497" s="10">
        <v>72</v>
      </c>
      <c r="D497" s="29">
        <v>1287.3599999999999</v>
      </c>
      <c r="E497" s="29">
        <v>357.76</v>
      </c>
      <c r="F497" s="30">
        <v>45930</v>
      </c>
      <c r="G497" s="10">
        <v>0</v>
      </c>
      <c r="H497" s="10">
        <v>0</v>
      </c>
      <c r="I497" s="10">
        <v>0</v>
      </c>
      <c r="J497" t="s">
        <v>54</v>
      </c>
      <c r="K497" s="10">
        <v>8002</v>
      </c>
    </row>
    <row r="498" spans="1:11">
      <c r="A498" s="10">
        <v>5003</v>
      </c>
      <c r="B498" s="10">
        <v>1</v>
      </c>
      <c r="C498" s="10">
        <v>74</v>
      </c>
      <c r="D498" s="29">
        <v>1545.12</v>
      </c>
      <c r="E498" s="29">
        <v>415.86399999999998</v>
      </c>
      <c r="F498" s="30">
        <v>45777</v>
      </c>
      <c r="G498" s="10">
        <v>0</v>
      </c>
      <c r="H498" s="10">
        <v>0</v>
      </c>
      <c r="I498" s="10">
        <v>0</v>
      </c>
      <c r="J498" t="s">
        <v>54</v>
      </c>
      <c r="K498" s="10">
        <v>8004</v>
      </c>
    </row>
    <row r="499" spans="1:11">
      <c r="A499" s="10">
        <v>5002</v>
      </c>
      <c r="B499" s="10">
        <v>3</v>
      </c>
      <c r="C499" s="10">
        <v>30</v>
      </c>
      <c r="D499" s="29">
        <v>576</v>
      </c>
      <c r="E499" s="29">
        <v>109.759</v>
      </c>
      <c r="F499" s="30">
        <v>45443</v>
      </c>
      <c r="G499" s="10">
        <v>0</v>
      </c>
      <c r="H499" s="10">
        <v>0</v>
      </c>
      <c r="I499" s="10">
        <v>0</v>
      </c>
      <c r="J499" t="s">
        <v>54</v>
      </c>
      <c r="K499" s="10">
        <v>8006</v>
      </c>
    </row>
    <row r="500" spans="1:11">
      <c r="A500" s="10">
        <v>5002</v>
      </c>
      <c r="B500" s="10">
        <v>4</v>
      </c>
      <c r="C500" s="10">
        <v>230</v>
      </c>
      <c r="D500" s="29">
        <v>4370</v>
      </c>
      <c r="E500" s="29">
        <v>1292.347</v>
      </c>
      <c r="F500" s="30">
        <v>45657</v>
      </c>
      <c r="G500" s="10">
        <v>0</v>
      </c>
      <c r="H500" s="10">
        <v>0</v>
      </c>
      <c r="I500" s="10">
        <v>0</v>
      </c>
      <c r="J500" t="s">
        <v>54</v>
      </c>
      <c r="K500" s="10">
        <v>8009</v>
      </c>
    </row>
    <row r="501" spans="1:11">
      <c r="A501" s="10">
        <v>5001</v>
      </c>
      <c r="B501" s="10">
        <v>1</v>
      </c>
      <c r="C501" s="10">
        <v>287</v>
      </c>
      <c r="D501" s="29">
        <v>5547.71</v>
      </c>
      <c r="E501" s="29">
        <v>1737.279</v>
      </c>
      <c r="F501" s="30">
        <v>45626</v>
      </c>
      <c r="G501" s="10">
        <v>0</v>
      </c>
      <c r="H501" s="10">
        <v>0</v>
      </c>
      <c r="I501" s="10">
        <v>0</v>
      </c>
      <c r="J501" t="s">
        <v>54</v>
      </c>
      <c r="K501" s="10">
        <v>8007</v>
      </c>
    </row>
    <row r="502" spans="1:11">
      <c r="A502" s="10">
        <v>5014</v>
      </c>
      <c r="B502" s="10">
        <v>1</v>
      </c>
      <c r="C502" s="10">
        <v>61</v>
      </c>
      <c r="D502" s="29">
        <v>755.79</v>
      </c>
      <c r="E502" s="29">
        <v>289.73500000000001</v>
      </c>
      <c r="F502" s="30">
        <v>45900</v>
      </c>
      <c r="G502" s="10">
        <v>0</v>
      </c>
      <c r="H502" s="10">
        <v>0</v>
      </c>
      <c r="I502" s="10">
        <v>0</v>
      </c>
      <c r="J502" t="s">
        <v>54</v>
      </c>
      <c r="K502" s="10">
        <v>8011</v>
      </c>
    </row>
    <row r="503" spans="1:11">
      <c r="A503" s="10">
        <v>5019</v>
      </c>
      <c r="B503" s="10">
        <v>1</v>
      </c>
      <c r="C503" s="10">
        <v>197</v>
      </c>
      <c r="D503" s="29">
        <v>3808.01</v>
      </c>
      <c r="E503" s="29">
        <v>725.94200000000001</v>
      </c>
      <c r="F503" s="30">
        <v>45565</v>
      </c>
      <c r="G503" s="10">
        <v>0</v>
      </c>
      <c r="H503" s="10">
        <v>0</v>
      </c>
      <c r="I503" s="10">
        <v>0</v>
      </c>
      <c r="J503" t="s">
        <v>54</v>
      </c>
      <c r="K503" s="10">
        <v>8005</v>
      </c>
    </row>
    <row r="504" spans="1:11">
      <c r="A504" s="10">
        <v>5011</v>
      </c>
      <c r="B504" s="10">
        <v>1</v>
      </c>
      <c r="C504" s="10">
        <v>107</v>
      </c>
      <c r="D504" s="29">
        <v>560.67999999999995</v>
      </c>
      <c r="E504" s="29">
        <v>126.68300000000001</v>
      </c>
      <c r="F504" s="30">
        <v>45322</v>
      </c>
      <c r="G504" s="10">
        <v>0</v>
      </c>
      <c r="H504" s="10">
        <v>0</v>
      </c>
      <c r="I504" s="10">
        <v>0</v>
      </c>
      <c r="J504" t="s">
        <v>54</v>
      </c>
      <c r="K504" s="10">
        <v>8011</v>
      </c>
    </row>
    <row r="505" spans="1:11">
      <c r="A505" s="10">
        <v>5006</v>
      </c>
      <c r="B505" s="10">
        <v>1</v>
      </c>
      <c r="C505" s="10">
        <v>235</v>
      </c>
      <c r="D505" s="29">
        <v>4361.6000000000004</v>
      </c>
      <c r="E505" s="29">
        <v>1586.6849999999999</v>
      </c>
      <c r="F505" s="30">
        <v>45991</v>
      </c>
      <c r="G505" s="10">
        <v>0</v>
      </c>
      <c r="H505" s="10">
        <v>0</v>
      </c>
      <c r="I505" s="10">
        <v>0</v>
      </c>
      <c r="J505" t="s">
        <v>54</v>
      </c>
      <c r="K505" s="10">
        <v>8004</v>
      </c>
    </row>
    <row r="506" spans="1:11">
      <c r="A506" s="10">
        <v>5005</v>
      </c>
      <c r="B506" s="10">
        <v>1</v>
      </c>
      <c r="C506" s="10">
        <v>105</v>
      </c>
      <c r="D506" s="29">
        <v>991.2</v>
      </c>
      <c r="E506" s="29">
        <v>348.21199999999999</v>
      </c>
      <c r="F506" s="30">
        <v>45657</v>
      </c>
      <c r="G506" s="10">
        <v>0</v>
      </c>
      <c r="H506" s="10">
        <v>0</v>
      </c>
      <c r="I506" s="10">
        <v>0</v>
      </c>
      <c r="J506" t="s">
        <v>54</v>
      </c>
      <c r="K506" s="10">
        <v>8008</v>
      </c>
    </row>
    <row r="507" spans="1:11">
      <c r="A507" s="10">
        <v>5011</v>
      </c>
      <c r="B507" s="10">
        <v>2</v>
      </c>
      <c r="C507" s="10">
        <v>222</v>
      </c>
      <c r="D507" s="29">
        <v>1196.58</v>
      </c>
      <c r="E507" s="29">
        <v>316.072</v>
      </c>
      <c r="F507" s="30">
        <v>45991</v>
      </c>
      <c r="G507" s="10">
        <v>0</v>
      </c>
      <c r="H507" s="10">
        <v>0</v>
      </c>
      <c r="I507" s="10">
        <v>0</v>
      </c>
      <c r="J507" t="s">
        <v>54</v>
      </c>
      <c r="K507" s="10">
        <v>8013</v>
      </c>
    </row>
    <row r="508" spans="1:11">
      <c r="A508" s="10">
        <v>5009</v>
      </c>
      <c r="B508" s="10">
        <v>3</v>
      </c>
      <c r="C508" s="10">
        <v>-61</v>
      </c>
      <c r="D508" s="29">
        <v>-1415.81</v>
      </c>
      <c r="E508" s="29">
        <v>0</v>
      </c>
      <c r="F508" s="30">
        <v>45596</v>
      </c>
      <c r="G508" s="10">
        <v>1</v>
      </c>
      <c r="H508" s="10">
        <v>1</v>
      </c>
      <c r="I508" s="10">
        <v>0</v>
      </c>
      <c r="J508" t="s">
        <v>2</v>
      </c>
      <c r="K508" s="10">
        <v>8011</v>
      </c>
    </row>
    <row r="509" spans="1:11">
      <c r="A509" s="10">
        <v>5021</v>
      </c>
      <c r="B509" s="10">
        <v>1</v>
      </c>
      <c r="C509" s="10">
        <v>-78</v>
      </c>
      <c r="D509" s="29">
        <v>-279.24</v>
      </c>
      <c r="E509" s="29">
        <v>0</v>
      </c>
      <c r="F509" s="30">
        <v>45443</v>
      </c>
      <c r="G509" s="10">
        <v>1</v>
      </c>
      <c r="H509" s="10">
        <v>1</v>
      </c>
      <c r="I509" s="10">
        <v>0</v>
      </c>
      <c r="J509" t="s">
        <v>2</v>
      </c>
      <c r="K509" s="10">
        <v>8005</v>
      </c>
    </row>
    <row r="510" spans="1:11">
      <c r="A510" s="10">
        <v>5010</v>
      </c>
      <c r="B510" s="10">
        <v>3</v>
      </c>
      <c r="C510" s="10">
        <v>150</v>
      </c>
      <c r="D510" s="29">
        <v>3418.5</v>
      </c>
      <c r="E510" s="29">
        <v>1116.057</v>
      </c>
      <c r="F510" s="30">
        <v>46022</v>
      </c>
      <c r="G510" s="10">
        <v>0</v>
      </c>
      <c r="H510" s="10">
        <v>0</v>
      </c>
      <c r="I510" s="10">
        <v>0</v>
      </c>
      <c r="J510" t="s">
        <v>54</v>
      </c>
      <c r="K510" s="10">
        <v>8007</v>
      </c>
    </row>
    <row r="511" spans="1:11">
      <c r="A511" s="10">
        <v>5003</v>
      </c>
      <c r="B511" s="10">
        <v>4</v>
      </c>
      <c r="C511" s="10">
        <v>77</v>
      </c>
      <c r="D511" s="29">
        <v>196.35</v>
      </c>
      <c r="E511" s="29">
        <v>57.749000000000002</v>
      </c>
      <c r="F511" s="30">
        <v>45657</v>
      </c>
      <c r="G511" s="10">
        <v>0</v>
      </c>
      <c r="H511" s="10">
        <v>0</v>
      </c>
      <c r="I511" s="10">
        <v>0</v>
      </c>
      <c r="J511" t="s">
        <v>54</v>
      </c>
      <c r="K511" s="10">
        <v>8010</v>
      </c>
    </row>
    <row r="512" spans="1:11">
      <c r="A512" s="10">
        <v>5003</v>
      </c>
      <c r="B512" s="10">
        <v>1</v>
      </c>
      <c r="C512" s="10">
        <v>9</v>
      </c>
      <c r="D512" s="29">
        <v>47.7</v>
      </c>
      <c r="E512" s="29">
        <v>17.302</v>
      </c>
      <c r="F512" s="30">
        <v>45535</v>
      </c>
      <c r="G512" s="10">
        <v>0</v>
      </c>
      <c r="H512" s="10">
        <v>0</v>
      </c>
      <c r="I512" s="10">
        <v>0</v>
      </c>
      <c r="J512" t="s">
        <v>54</v>
      </c>
      <c r="K512" s="10">
        <v>8001</v>
      </c>
    </row>
    <row r="513" spans="1:11">
      <c r="A513" s="10">
        <v>5005</v>
      </c>
      <c r="B513" s="10">
        <v>2</v>
      </c>
      <c r="C513" s="10">
        <v>236</v>
      </c>
      <c r="D513" s="29">
        <v>783.52</v>
      </c>
      <c r="E513" s="29">
        <v>183.31899999999999</v>
      </c>
      <c r="F513" s="30">
        <v>45626</v>
      </c>
      <c r="G513" s="10">
        <v>0</v>
      </c>
      <c r="H513" s="10">
        <v>0</v>
      </c>
      <c r="I513" s="10">
        <v>0</v>
      </c>
      <c r="J513" t="s">
        <v>54</v>
      </c>
      <c r="K513" s="10">
        <v>8009</v>
      </c>
    </row>
    <row r="514" spans="1:11">
      <c r="A514" s="10">
        <v>5020</v>
      </c>
      <c r="B514" s="10">
        <v>6</v>
      </c>
      <c r="C514" s="10">
        <v>59</v>
      </c>
      <c r="D514" s="29">
        <v>900.34</v>
      </c>
      <c r="E514" s="29">
        <v>361.69</v>
      </c>
      <c r="F514" s="30">
        <v>45961</v>
      </c>
      <c r="G514" s="10">
        <v>0</v>
      </c>
      <c r="H514" s="10">
        <v>0</v>
      </c>
      <c r="I514" s="10">
        <v>0</v>
      </c>
      <c r="J514" t="s">
        <v>54</v>
      </c>
      <c r="K514" s="10">
        <v>8004</v>
      </c>
    </row>
    <row r="515" spans="1:11">
      <c r="A515" s="10">
        <v>5004</v>
      </c>
      <c r="B515" s="10">
        <v>1</v>
      </c>
      <c r="C515" s="10">
        <v>47</v>
      </c>
      <c r="D515" s="29">
        <v>391.51</v>
      </c>
      <c r="E515" s="29">
        <v>144.375</v>
      </c>
      <c r="F515" s="30">
        <v>45777</v>
      </c>
      <c r="G515" s="10">
        <v>0</v>
      </c>
      <c r="H515" s="10">
        <v>0</v>
      </c>
      <c r="I515" s="10">
        <v>0</v>
      </c>
      <c r="J515" t="s">
        <v>54</v>
      </c>
      <c r="K515" s="10">
        <v>8005</v>
      </c>
    </row>
    <row r="516" spans="1:11">
      <c r="A516" s="10">
        <v>5019</v>
      </c>
      <c r="B516" s="10">
        <v>2</v>
      </c>
      <c r="C516" s="10">
        <v>194</v>
      </c>
      <c r="D516" s="29">
        <v>4510.5</v>
      </c>
      <c r="E516" s="29">
        <v>1624.644</v>
      </c>
      <c r="F516" s="30">
        <v>46022</v>
      </c>
      <c r="G516" s="10">
        <v>0</v>
      </c>
      <c r="H516" s="10">
        <v>0</v>
      </c>
      <c r="I516" s="10">
        <v>0</v>
      </c>
      <c r="J516" t="s">
        <v>54</v>
      </c>
      <c r="K516" s="10">
        <v>8016</v>
      </c>
    </row>
    <row r="517" spans="1:11">
      <c r="A517" s="10">
        <v>5026</v>
      </c>
      <c r="B517" s="10">
        <v>2</v>
      </c>
      <c r="C517" s="10">
        <v>148</v>
      </c>
      <c r="D517" s="29">
        <v>356.68</v>
      </c>
      <c r="E517" s="29">
        <v>63.334000000000003</v>
      </c>
      <c r="F517" s="30">
        <v>45930</v>
      </c>
      <c r="G517" s="10">
        <v>0</v>
      </c>
      <c r="H517" s="10">
        <v>0</v>
      </c>
      <c r="I517" s="10">
        <v>0</v>
      </c>
      <c r="J517" t="s">
        <v>54</v>
      </c>
      <c r="K517" s="10">
        <v>8006</v>
      </c>
    </row>
    <row r="518" spans="1:11">
      <c r="A518" s="10">
        <v>5030</v>
      </c>
      <c r="B518" s="10">
        <v>1</v>
      </c>
      <c r="C518" s="10">
        <v>97</v>
      </c>
      <c r="D518" s="29">
        <v>2231.9699999999998</v>
      </c>
      <c r="E518" s="29">
        <v>362.75799999999998</v>
      </c>
      <c r="F518" s="30">
        <v>45808</v>
      </c>
      <c r="G518" s="10">
        <v>0</v>
      </c>
      <c r="H518" s="10">
        <v>0</v>
      </c>
      <c r="I518" s="10">
        <v>0</v>
      </c>
      <c r="J518" t="s">
        <v>54</v>
      </c>
      <c r="K518" s="10">
        <v>8010</v>
      </c>
    </row>
    <row r="519" spans="1:11">
      <c r="A519" s="10">
        <v>5004</v>
      </c>
      <c r="B519" s="10">
        <v>3</v>
      </c>
      <c r="C519" s="10">
        <v>218</v>
      </c>
      <c r="D519" s="29">
        <v>760.82</v>
      </c>
      <c r="E519" s="29">
        <v>216</v>
      </c>
      <c r="F519" s="30">
        <v>45961</v>
      </c>
      <c r="G519" s="10">
        <v>0</v>
      </c>
      <c r="H519" s="10">
        <v>0</v>
      </c>
      <c r="I519" s="10">
        <v>0</v>
      </c>
      <c r="J519" t="s">
        <v>54</v>
      </c>
      <c r="K519" s="10">
        <v>8001</v>
      </c>
    </row>
    <row r="520" spans="1:11">
      <c r="A520" s="10">
        <v>5019</v>
      </c>
      <c r="B520" s="10">
        <v>6</v>
      </c>
      <c r="C520" s="10">
        <v>142</v>
      </c>
      <c r="D520" s="29">
        <v>3124</v>
      </c>
      <c r="E520" s="29">
        <v>662.01700000000005</v>
      </c>
      <c r="F520" s="30">
        <v>45626</v>
      </c>
      <c r="G520" s="10">
        <v>0</v>
      </c>
      <c r="H520" s="10">
        <v>0</v>
      </c>
      <c r="I520" s="10">
        <v>0</v>
      </c>
      <c r="J520" t="s">
        <v>54</v>
      </c>
      <c r="K520" s="10">
        <v>8003</v>
      </c>
    </row>
    <row r="521" spans="1:11">
      <c r="A521" s="10">
        <v>5018</v>
      </c>
      <c r="B521" s="10">
        <v>1</v>
      </c>
      <c r="C521" s="10">
        <v>84</v>
      </c>
      <c r="D521" s="29">
        <v>1304.52</v>
      </c>
      <c r="E521" s="29">
        <v>244.91</v>
      </c>
      <c r="F521" s="30">
        <v>45900</v>
      </c>
      <c r="G521" s="10">
        <v>0</v>
      </c>
      <c r="H521" s="10">
        <v>0</v>
      </c>
      <c r="I521" s="10">
        <v>0</v>
      </c>
      <c r="J521" t="s">
        <v>54</v>
      </c>
      <c r="K521" s="10">
        <v>8003</v>
      </c>
    </row>
    <row r="522" spans="1:11">
      <c r="A522" s="10">
        <v>5011</v>
      </c>
      <c r="B522" s="10">
        <v>3</v>
      </c>
      <c r="C522" s="10">
        <v>-225</v>
      </c>
      <c r="D522" s="29">
        <v>-3109.5</v>
      </c>
      <c r="E522" s="29">
        <v>0</v>
      </c>
      <c r="F522" s="30">
        <v>45991</v>
      </c>
      <c r="G522" s="10">
        <v>1</v>
      </c>
      <c r="H522" s="10">
        <v>1</v>
      </c>
      <c r="I522" s="10">
        <v>0</v>
      </c>
      <c r="J522" t="s">
        <v>2</v>
      </c>
      <c r="K522" s="10">
        <v>8010</v>
      </c>
    </row>
    <row r="523" spans="1:11">
      <c r="A523" s="10">
        <v>5008</v>
      </c>
      <c r="B523" s="10">
        <v>5</v>
      </c>
      <c r="C523" s="10">
        <v>177</v>
      </c>
      <c r="D523" s="29">
        <v>2247.9</v>
      </c>
      <c r="E523" s="29">
        <v>895.02800000000002</v>
      </c>
      <c r="F523" s="30">
        <v>45808</v>
      </c>
      <c r="G523" s="10">
        <v>0</v>
      </c>
      <c r="H523" s="10">
        <v>0</v>
      </c>
      <c r="I523" s="10">
        <v>0</v>
      </c>
      <c r="J523" t="s">
        <v>54</v>
      </c>
      <c r="K523" s="10">
        <v>8029</v>
      </c>
    </row>
    <row r="524" spans="1:11">
      <c r="A524" s="10">
        <v>5003</v>
      </c>
      <c r="B524" s="10">
        <v>1</v>
      </c>
      <c r="C524" s="10">
        <v>229</v>
      </c>
      <c r="D524" s="29">
        <v>2844.18</v>
      </c>
      <c r="E524" s="29">
        <v>826.64300000000003</v>
      </c>
      <c r="F524" s="30">
        <v>45565</v>
      </c>
      <c r="G524" s="10">
        <v>0</v>
      </c>
      <c r="H524" s="10">
        <v>0</v>
      </c>
      <c r="I524" s="10">
        <v>0</v>
      </c>
      <c r="J524" t="s">
        <v>54</v>
      </c>
      <c r="K524" s="10">
        <v>8008</v>
      </c>
    </row>
    <row r="525" spans="1:11">
      <c r="A525" s="10">
        <v>5012</v>
      </c>
      <c r="B525" s="10">
        <v>6</v>
      </c>
      <c r="C525" s="10">
        <v>145</v>
      </c>
      <c r="D525" s="29">
        <v>1741.45</v>
      </c>
      <c r="E525" s="29">
        <v>283.98399999999998</v>
      </c>
      <c r="F525" s="30">
        <v>45626</v>
      </c>
      <c r="G525" s="10">
        <v>0</v>
      </c>
      <c r="H525" s="10">
        <v>0</v>
      </c>
      <c r="I525" s="10">
        <v>0</v>
      </c>
      <c r="J525" t="s">
        <v>54</v>
      </c>
      <c r="K525" s="10">
        <v>8002</v>
      </c>
    </row>
    <row r="526" spans="1:11">
      <c r="A526" s="10">
        <v>5009</v>
      </c>
      <c r="B526" s="10">
        <v>3</v>
      </c>
      <c r="C526" s="10">
        <v>71</v>
      </c>
      <c r="D526" s="29">
        <v>992.58</v>
      </c>
      <c r="E526" s="29">
        <v>280.45299999999997</v>
      </c>
      <c r="F526" s="30">
        <v>45504</v>
      </c>
      <c r="G526" s="10">
        <v>0</v>
      </c>
      <c r="H526" s="10">
        <v>0</v>
      </c>
      <c r="I526" s="10">
        <v>0</v>
      </c>
      <c r="J526" t="s">
        <v>54</v>
      </c>
      <c r="K526" s="10">
        <v>8004</v>
      </c>
    </row>
    <row r="527" spans="1:11">
      <c r="A527" s="10">
        <v>5005</v>
      </c>
      <c r="B527" s="10">
        <v>1</v>
      </c>
      <c r="C527" s="10">
        <v>194</v>
      </c>
      <c r="D527" s="29">
        <v>1953.58</v>
      </c>
      <c r="E527" s="29">
        <v>454.60500000000002</v>
      </c>
      <c r="F527" s="30">
        <v>45808</v>
      </c>
      <c r="G527" s="10">
        <v>0</v>
      </c>
      <c r="H527" s="10">
        <v>0</v>
      </c>
      <c r="I527" s="10">
        <v>0</v>
      </c>
      <c r="J527" t="s">
        <v>54</v>
      </c>
      <c r="K527" s="10">
        <v>8007</v>
      </c>
    </row>
    <row r="528" spans="1:11">
      <c r="A528" s="10">
        <v>5002</v>
      </c>
      <c r="B528" s="10">
        <v>1</v>
      </c>
      <c r="C528" s="10">
        <v>54</v>
      </c>
      <c r="D528" s="29">
        <v>420.66</v>
      </c>
      <c r="E528" s="29">
        <v>114.578</v>
      </c>
      <c r="F528" s="30">
        <v>45473</v>
      </c>
      <c r="G528" s="10">
        <v>0</v>
      </c>
      <c r="H528" s="10">
        <v>0</v>
      </c>
      <c r="I528" s="10">
        <v>0</v>
      </c>
      <c r="J528" t="s">
        <v>54</v>
      </c>
      <c r="K528" s="10">
        <v>8008</v>
      </c>
    </row>
    <row r="529" spans="1:11">
      <c r="A529" s="10">
        <v>5002</v>
      </c>
      <c r="B529" s="10">
        <v>1</v>
      </c>
      <c r="C529" s="10">
        <v>289</v>
      </c>
      <c r="D529" s="29">
        <v>1653.08</v>
      </c>
      <c r="E529" s="29">
        <v>692.38599999999997</v>
      </c>
      <c r="F529" s="30">
        <v>45626</v>
      </c>
      <c r="G529" s="10">
        <v>0</v>
      </c>
      <c r="H529" s="10">
        <v>0</v>
      </c>
      <c r="I529" s="10">
        <v>0</v>
      </c>
      <c r="J529" t="s">
        <v>54</v>
      </c>
      <c r="K529" s="10">
        <v>8025</v>
      </c>
    </row>
    <row r="530" spans="1:11">
      <c r="A530" s="10">
        <v>5008</v>
      </c>
      <c r="B530" s="10">
        <v>4</v>
      </c>
      <c r="C530" s="10">
        <v>90</v>
      </c>
      <c r="D530" s="29">
        <v>1285.2</v>
      </c>
      <c r="E530" s="29">
        <v>338.75900000000001</v>
      </c>
      <c r="F530" s="30">
        <v>45991</v>
      </c>
      <c r="G530" s="10">
        <v>0</v>
      </c>
      <c r="H530" s="10">
        <v>0</v>
      </c>
      <c r="I530" s="10">
        <v>0</v>
      </c>
      <c r="J530" t="s">
        <v>54</v>
      </c>
      <c r="K530" s="10">
        <v>8012</v>
      </c>
    </row>
    <row r="531" spans="1:11">
      <c r="A531" s="10">
        <v>5001</v>
      </c>
      <c r="B531" s="10">
        <v>2</v>
      </c>
      <c r="C531" s="10">
        <v>159</v>
      </c>
      <c r="D531" s="29">
        <v>1874.61</v>
      </c>
      <c r="E531" s="29">
        <v>475.87</v>
      </c>
      <c r="F531" s="30">
        <v>45869</v>
      </c>
      <c r="G531" s="10">
        <v>0</v>
      </c>
      <c r="H531" s="10">
        <v>0</v>
      </c>
      <c r="I531" s="10">
        <v>0</v>
      </c>
      <c r="J531" t="s">
        <v>54</v>
      </c>
      <c r="K531" s="10">
        <v>8016</v>
      </c>
    </row>
    <row r="532" spans="1:11">
      <c r="A532" s="10">
        <v>5022</v>
      </c>
      <c r="B532" s="10">
        <v>1</v>
      </c>
      <c r="C532" s="10">
        <v>58</v>
      </c>
      <c r="D532" s="29">
        <v>1221.48</v>
      </c>
      <c r="E532" s="29">
        <v>258.62299999999999</v>
      </c>
      <c r="F532" s="30">
        <v>45747</v>
      </c>
      <c r="G532" s="10">
        <v>0</v>
      </c>
      <c r="H532" s="10">
        <v>0</v>
      </c>
      <c r="I532" s="10">
        <v>0</v>
      </c>
      <c r="J532" t="s">
        <v>54</v>
      </c>
      <c r="K532" s="10">
        <v>8003</v>
      </c>
    </row>
    <row r="533" spans="1:11">
      <c r="A533" s="10">
        <v>5011</v>
      </c>
      <c r="B533" s="10">
        <v>4</v>
      </c>
      <c r="C533" s="10">
        <v>81</v>
      </c>
      <c r="D533" s="29">
        <v>1355.94</v>
      </c>
      <c r="E533" s="29">
        <v>476.60899999999998</v>
      </c>
      <c r="F533" s="30">
        <v>45777</v>
      </c>
      <c r="G533" s="10">
        <v>0</v>
      </c>
      <c r="H533" s="10">
        <v>0</v>
      </c>
      <c r="I533" s="10">
        <v>0</v>
      </c>
      <c r="J533" t="s">
        <v>54</v>
      </c>
      <c r="K533" s="10">
        <v>8002</v>
      </c>
    </row>
    <row r="534" spans="1:11">
      <c r="A534" s="10">
        <v>5005</v>
      </c>
      <c r="B534" s="10">
        <v>3</v>
      </c>
      <c r="C534" s="10">
        <v>66</v>
      </c>
      <c r="D534" s="29">
        <v>364.32</v>
      </c>
      <c r="E534" s="29">
        <v>90.25</v>
      </c>
      <c r="F534" s="30">
        <v>45991</v>
      </c>
      <c r="G534" s="10">
        <v>0</v>
      </c>
      <c r="H534" s="10">
        <v>0</v>
      </c>
      <c r="I534" s="10">
        <v>0</v>
      </c>
      <c r="J534" t="s">
        <v>54</v>
      </c>
      <c r="K534" s="10">
        <v>8003</v>
      </c>
    </row>
    <row r="535" spans="1:11">
      <c r="A535" s="10">
        <v>5009</v>
      </c>
      <c r="B535" s="10">
        <v>1</v>
      </c>
      <c r="C535" s="10">
        <v>67</v>
      </c>
      <c r="D535" s="29">
        <v>460.29</v>
      </c>
      <c r="E535" s="29">
        <v>108.515</v>
      </c>
      <c r="F535" s="30">
        <v>45808</v>
      </c>
      <c r="G535" s="10">
        <v>0</v>
      </c>
      <c r="H535" s="10">
        <v>0</v>
      </c>
      <c r="I535" s="10">
        <v>0</v>
      </c>
      <c r="J535" t="s">
        <v>54</v>
      </c>
      <c r="K535" s="10">
        <v>8018</v>
      </c>
    </row>
    <row r="536" spans="1:11">
      <c r="A536" s="10">
        <v>5011</v>
      </c>
      <c r="B536" s="10">
        <v>2</v>
      </c>
      <c r="C536" s="10">
        <v>234</v>
      </c>
      <c r="D536" s="29">
        <v>2307.2399999999998</v>
      </c>
      <c r="E536" s="29">
        <v>948.36</v>
      </c>
      <c r="F536" s="30">
        <v>45565</v>
      </c>
      <c r="G536" s="10">
        <v>0</v>
      </c>
      <c r="H536" s="10">
        <v>0</v>
      </c>
      <c r="I536" s="10">
        <v>0</v>
      </c>
      <c r="J536" t="s">
        <v>54</v>
      </c>
      <c r="K536" s="10">
        <v>8003</v>
      </c>
    </row>
    <row r="537" spans="1:11">
      <c r="A537" s="10">
        <v>5003</v>
      </c>
      <c r="B537" s="10">
        <v>3</v>
      </c>
      <c r="C537" s="10">
        <v>190</v>
      </c>
      <c r="D537" s="29">
        <v>4309.2</v>
      </c>
      <c r="E537" s="29">
        <v>779.17600000000004</v>
      </c>
      <c r="F537" s="30">
        <v>45626</v>
      </c>
      <c r="G537" s="10">
        <v>0</v>
      </c>
      <c r="H537" s="10">
        <v>0</v>
      </c>
      <c r="I537" s="10">
        <v>0</v>
      </c>
      <c r="J537" t="s">
        <v>54</v>
      </c>
      <c r="K537" s="10">
        <v>8001</v>
      </c>
    </row>
    <row r="538" spans="1:11">
      <c r="A538" s="10">
        <v>5002</v>
      </c>
      <c r="B538" s="10">
        <v>5</v>
      </c>
      <c r="C538" s="10">
        <v>103</v>
      </c>
      <c r="D538" s="29">
        <v>246.17</v>
      </c>
      <c r="E538" s="29">
        <v>88.35</v>
      </c>
      <c r="F538" s="30">
        <v>45473</v>
      </c>
      <c r="G538" s="10">
        <v>0</v>
      </c>
      <c r="H538" s="10">
        <v>0</v>
      </c>
      <c r="I538" s="10">
        <v>0</v>
      </c>
      <c r="J538" t="s">
        <v>54</v>
      </c>
      <c r="K538" s="10">
        <v>8001</v>
      </c>
    </row>
    <row r="539" spans="1:11">
      <c r="A539" s="10">
        <v>5004</v>
      </c>
      <c r="B539" s="10">
        <v>3</v>
      </c>
      <c r="C539" s="10">
        <v>222</v>
      </c>
      <c r="D539" s="29">
        <v>1924.74</v>
      </c>
      <c r="E539" s="29">
        <v>450.16899999999998</v>
      </c>
      <c r="F539" s="30">
        <v>45412</v>
      </c>
      <c r="G539" s="10">
        <v>0</v>
      </c>
      <c r="H539" s="10">
        <v>0</v>
      </c>
      <c r="I539" s="10">
        <v>0</v>
      </c>
      <c r="J539" t="s">
        <v>54</v>
      </c>
      <c r="K539" s="10">
        <v>8002</v>
      </c>
    </row>
    <row r="540" spans="1:11">
      <c r="A540" s="10">
        <v>5002</v>
      </c>
      <c r="B540" s="10">
        <v>1</v>
      </c>
      <c r="C540" s="10">
        <v>183</v>
      </c>
      <c r="D540" s="29">
        <v>3824.7</v>
      </c>
      <c r="E540" s="29">
        <v>1085.451</v>
      </c>
      <c r="F540" s="30">
        <v>45808</v>
      </c>
      <c r="G540" s="10">
        <v>0</v>
      </c>
      <c r="H540" s="10">
        <v>0</v>
      </c>
      <c r="I540" s="10">
        <v>0</v>
      </c>
      <c r="J540" t="s">
        <v>54</v>
      </c>
      <c r="K540" s="10">
        <v>8017</v>
      </c>
    </row>
    <row r="541" spans="1:11">
      <c r="A541" s="10">
        <v>5009</v>
      </c>
      <c r="B541" s="10">
        <v>2</v>
      </c>
      <c r="C541" s="10">
        <v>326</v>
      </c>
      <c r="D541" s="29">
        <v>5636.54</v>
      </c>
      <c r="E541" s="29">
        <v>1777.606</v>
      </c>
      <c r="F541" s="30">
        <v>46022</v>
      </c>
      <c r="G541" s="10">
        <v>0</v>
      </c>
      <c r="H541" s="10">
        <v>0</v>
      </c>
      <c r="I541" s="10">
        <v>0</v>
      </c>
      <c r="J541" t="s">
        <v>54</v>
      </c>
      <c r="K541" s="10">
        <v>8003</v>
      </c>
    </row>
    <row r="542" spans="1:11">
      <c r="A542" s="10">
        <v>5011</v>
      </c>
      <c r="B542" s="10">
        <v>2</v>
      </c>
      <c r="C542" s="10">
        <v>161</v>
      </c>
      <c r="D542" s="29">
        <v>1395.87</v>
      </c>
      <c r="E542" s="29">
        <v>419.19900000000001</v>
      </c>
      <c r="F542" s="30">
        <v>45808</v>
      </c>
      <c r="G542" s="10">
        <v>0</v>
      </c>
      <c r="H542" s="10">
        <v>0</v>
      </c>
      <c r="I542" s="10">
        <v>0</v>
      </c>
      <c r="J542" t="s">
        <v>54</v>
      </c>
      <c r="K542" s="10">
        <v>8008</v>
      </c>
    </row>
    <row r="543" spans="1:11">
      <c r="A543" s="10">
        <v>5006</v>
      </c>
      <c r="B543" s="10">
        <v>1</v>
      </c>
      <c r="C543" s="10">
        <v>104</v>
      </c>
      <c r="D543" s="29">
        <v>187.2</v>
      </c>
      <c r="E543" s="29">
        <v>71.222999999999999</v>
      </c>
      <c r="F543" s="30">
        <v>45961</v>
      </c>
      <c r="G543" s="10">
        <v>0</v>
      </c>
      <c r="H543" s="10">
        <v>0</v>
      </c>
      <c r="I543" s="10">
        <v>0</v>
      </c>
      <c r="J543" t="s">
        <v>54</v>
      </c>
      <c r="K543" s="10">
        <v>8004</v>
      </c>
    </row>
    <row r="544" spans="1:11">
      <c r="A544" s="10">
        <v>5007</v>
      </c>
      <c r="B544" s="10">
        <v>5</v>
      </c>
      <c r="C544" s="10">
        <v>-229</v>
      </c>
      <c r="D544" s="29">
        <v>-2837.31</v>
      </c>
      <c r="E544" s="29">
        <v>0</v>
      </c>
      <c r="F544" s="30">
        <v>45596</v>
      </c>
      <c r="G544" s="10">
        <v>1</v>
      </c>
      <c r="H544" s="10">
        <v>1</v>
      </c>
      <c r="I544" s="10">
        <v>0</v>
      </c>
      <c r="J544" t="s">
        <v>2</v>
      </c>
      <c r="K544" s="10">
        <v>8001</v>
      </c>
    </row>
    <row r="545" spans="1:11">
      <c r="A545" s="10">
        <v>5003</v>
      </c>
      <c r="B545" s="10">
        <v>2</v>
      </c>
      <c r="C545" s="10">
        <v>108</v>
      </c>
      <c r="D545" s="29">
        <v>1537.92</v>
      </c>
      <c r="E545" s="29">
        <v>311.35199999999998</v>
      </c>
      <c r="F545" s="30">
        <v>45565</v>
      </c>
      <c r="G545" s="10">
        <v>0</v>
      </c>
      <c r="H545" s="10">
        <v>0</v>
      </c>
      <c r="I545" s="10">
        <v>0</v>
      </c>
      <c r="J545" t="s">
        <v>54</v>
      </c>
      <c r="K545" s="10">
        <v>8001</v>
      </c>
    </row>
    <row r="546" spans="1:11">
      <c r="A546" s="10">
        <v>5005</v>
      </c>
      <c r="B546" s="10">
        <v>1</v>
      </c>
      <c r="C546" s="10">
        <v>120</v>
      </c>
      <c r="D546" s="29">
        <v>854.4</v>
      </c>
      <c r="E546" s="29">
        <v>338.84500000000003</v>
      </c>
      <c r="F546" s="30">
        <v>45900</v>
      </c>
      <c r="G546" s="10">
        <v>0</v>
      </c>
      <c r="H546" s="10">
        <v>0</v>
      </c>
      <c r="I546" s="10">
        <v>0</v>
      </c>
      <c r="J546" t="s">
        <v>54</v>
      </c>
      <c r="K546" s="10">
        <v>8004</v>
      </c>
    </row>
    <row r="547" spans="1:11">
      <c r="A547" s="10">
        <v>5012</v>
      </c>
      <c r="B547" s="10">
        <v>4</v>
      </c>
      <c r="C547" s="10">
        <v>196</v>
      </c>
      <c r="D547" s="29">
        <v>2150.12</v>
      </c>
      <c r="E547" s="29">
        <v>445.99099999999999</v>
      </c>
      <c r="F547" s="30">
        <v>45961</v>
      </c>
      <c r="G547" s="10">
        <v>0</v>
      </c>
      <c r="H547" s="10">
        <v>0</v>
      </c>
      <c r="I547" s="10">
        <v>0</v>
      </c>
      <c r="J547" t="s">
        <v>54</v>
      </c>
      <c r="K547" s="10">
        <v>8003</v>
      </c>
    </row>
    <row r="548" spans="1:11">
      <c r="A548" s="10">
        <v>5011</v>
      </c>
      <c r="B548" s="10">
        <v>1</v>
      </c>
      <c r="C548" s="10">
        <v>-171</v>
      </c>
      <c r="D548" s="29">
        <v>-1020.87</v>
      </c>
      <c r="E548" s="29">
        <v>0</v>
      </c>
      <c r="F548" s="30">
        <v>45565</v>
      </c>
      <c r="G548" s="10">
        <v>1</v>
      </c>
      <c r="H548" s="10">
        <v>1</v>
      </c>
      <c r="I548" s="10">
        <v>0</v>
      </c>
      <c r="J548" t="s">
        <v>2</v>
      </c>
      <c r="K548" s="10">
        <v>8009</v>
      </c>
    </row>
    <row r="549" spans="1:11">
      <c r="A549" s="10">
        <v>5003</v>
      </c>
      <c r="B549" s="10">
        <v>1</v>
      </c>
      <c r="C549" s="10">
        <v>199</v>
      </c>
      <c r="D549" s="29">
        <v>3570.06</v>
      </c>
      <c r="E549" s="29">
        <v>711.077</v>
      </c>
      <c r="F549" s="30">
        <v>45716</v>
      </c>
      <c r="G549" s="10">
        <v>0</v>
      </c>
      <c r="H549" s="10">
        <v>0</v>
      </c>
      <c r="I549" s="10">
        <v>0</v>
      </c>
      <c r="J549" t="s">
        <v>54</v>
      </c>
      <c r="K549" s="10">
        <v>8002</v>
      </c>
    </row>
    <row r="550" spans="1:11">
      <c r="A550" s="10">
        <v>5005</v>
      </c>
      <c r="B550" s="10">
        <v>4</v>
      </c>
      <c r="C550" s="10">
        <v>282</v>
      </c>
      <c r="D550" s="29">
        <v>3409.38</v>
      </c>
      <c r="E550" s="29">
        <v>838.24599999999998</v>
      </c>
      <c r="F550" s="30">
        <v>45688</v>
      </c>
      <c r="G550" s="10">
        <v>0</v>
      </c>
      <c r="H550" s="10">
        <v>0</v>
      </c>
      <c r="I550" s="10">
        <v>0</v>
      </c>
      <c r="J550" t="s">
        <v>54</v>
      </c>
      <c r="K550" s="10">
        <v>8004</v>
      </c>
    </row>
    <row r="551" spans="1:11">
      <c r="A551" s="10">
        <v>5024</v>
      </c>
      <c r="B551" s="10">
        <v>4</v>
      </c>
      <c r="C551" s="10">
        <v>39</v>
      </c>
      <c r="D551" s="29">
        <v>477.36</v>
      </c>
      <c r="E551" s="29">
        <v>180.82400000000001</v>
      </c>
      <c r="F551" s="30">
        <v>45961</v>
      </c>
      <c r="G551" s="10">
        <v>0</v>
      </c>
      <c r="H551" s="10">
        <v>0</v>
      </c>
      <c r="I551" s="10">
        <v>0</v>
      </c>
      <c r="J551" t="s">
        <v>54</v>
      </c>
      <c r="K551" s="10">
        <v>8001</v>
      </c>
    </row>
    <row r="552" spans="1:11">
      <c r="A552" s="10">
        <v>5017</v>
      </c>
      <c r="B552" s="10">
        <v>4</v>
      </c>
      <c r="C552" s="10">
        <v>70</v>
      </c>
      <c r="D552" s="29">
        <v>1324.4</v>
      </c>
      <c r="E552" s="29">
        <v>465.899</v>
      </c>
      <c r="F552" s="30">
        <v>45961</v>
      </c>
      <c r="G552" s="10">
        <v>0</v>
      </c>
      <c r="H552" s="10">
        <v>0</v>
      </c>
      <c r="I552" s="10">
        <v>0</v>
      </c>
      <c r="J552" t="s">
        <v>54</v>
      </c>
      <c r="K552" s="10">
        <v>8002</v>
      </c>
    </row>
    <row r="553" spans="1:11">
      <c r="A553" s="10">
        <v>5007</v>
      </c>
      <c r="B553" s="10">
        <v>2</v>
      </c>
      <c r="C553" s="10">
        <v>309</v>
      </c>
      <c r="D553" s="29">
        <v>3800.7</v>
      </c>
      <c r="E553" s="29">
        <v>916.53300000000002</v>
      </c>
      <c r="F553" s="30">
        <v>45351</v>
      </c>
      <c r="G553" s="10">
        <v>0</v>
      </c>
      <c r="H553" s="10">
        <v>0</v>
      </c>
      <c r="I553" s="10">
        <v>0</v>
      </c>
      <c r="J553" t="s">
        <v>54</v>
      </c>
      <c r="K553" s="10">
        <v>8014</v>
      </c>
    </row>
    <row r="554" spans="1:11">
      <c r="A554" s="10">
        <v>5010</v>
      </c>
      <c r="B554" s="10">
        <v>5</v>
      </c>
      <c r="C554" s="10">
        <v>108</v>
      </c>
      <c r="D554" s="29">
        <v>801.36</v>
      </c>
      <c r="E554" s="29">
        <v>169.62200000000001</v>
      </c>
      <c r="F554" s="30">
        <v>45596</v>
      </c>
      <c r="G554" s="10">
        <v>0</v>
      </c>
      <c r="H554" s="10">
        <v>0</v>
      </c>
      <c r="I554" s="10">
        <v>0</v>
      </c>
      <c r="J554" t="s">
        <v>54</v>
      </c>
      <c r="K554" s="10">
        <v>8001</v>
      </c>
    </row>
    <row r="555" spans="1:11">
      <c r="A555" s="10">
        <v>5018</v>
      </c>
      <c r="B555" s="10">
        <v>1</v>
      </c>
      <c r="C555" s="10">
        <v>217</v>
      </c>
      <c r="D555" s="29">
        <v>1953</v>
      </c>
      <c r="E555" s="29">
        <v>452.678</v>
      </c>
      <c r="F555" s="30">
        <v>45991</v>
      </c>
      <c r="G555" s="10">
        <v>0</v>
      </c>
      <c r="H555" s="10">
        <v>0</v>
      </c>
      <c r="I555" s="10">
        <v>0</v>
      </c>
      <c r="J555" t="s">
        <v>54</v>
      </c>
      <c r="K555" s="10">
        <v>8003</v>
      </c>
    </row>
    <row r="556" spans="1:11">
      <c r="A556" s="10">
        <v>5015</v>
      </c>
      <c r="B556" s="10">
        <v>1</v>
      </c>
      <c r="C556" s="10">
        <v>223</v>
      </c>
      <c r="D556" s="29">
        <v>2754.05</v>
      </c>
      <c r="E556" s="29">
        <v>706.58900000000006</v>
      </c>
      <c r="F556" s="30">
        <v>45443</v>
      </c>
      <c r="G556" s="10">
        <v>0</v>
      </c>
      <c r="H556" s="10">
        <v>0</v>
      </c>
      <c r="I556" s="10">
        <v>0</v>
      </c>
      <c r="J556" t="s">
        <v>54</v>
      </c>
      <c r="K556" s="10">
        <v>8001</v>
      </c>
    </row>
    <row r="557" spans="1:11">
      <c r="A557" s="10">
        <v>5002</v>
      </c>
      <c r="B557" s="10">
        <v>3</v>
      </c>
      <c r="C557" s="10">
        <v>244</v>
      </c>
      <c r="D557" s="29">
        <v>5838.92</v>
      </c>
      <c r="E557" s="29">
        <v>1024.973</v>
      </c>
      <c r="F557" s="30">
        <v>45412</v>
      </c>
      <c r="G557" s="10">
        <v>0</v>
      </c>
      <c r="H557" s="10">
        <v>0</v>
      </c>
      <c r="I557" s="10">
        <v>0</v>
      </c>
      <c r="J557" t="s">
        <v>54</v>
      </c>
      <c r="K557" s="10">
        <v>8001</v>
      </c>
    </row>
    <row r="558" spans="1:11">
      <c r="A558" s="10">
        <v>5012</v>
      </c>
      <c r="B558" s="10">
        <v>1</v>
      </c>
      <c r="C558" s="10">
        <v>80</v>
      </c>
      <c r="D558" s="29">
        <v>1887.2</v>
      </c>
      <c r="E558" s="29">
        <v>673.24199999999996</v>
      </c>
      <c r="F558" s="30">
        <v>45838</v>
      </c>
      <c r="G558" s="10">
        <v>0</v>
      </c>
      <c r="H558" s="10">
        <v>0</v>
      </c>
      <c r="I558" s="10">
        <v>0</v>
      </c>
      <c r="J558" t="s">
        <v>54</v>
      </c>
      <c r="K558" s="10">
        <v>8015</v>
      </c>
    </row>
    <row r="559" spans="1:11">
      <c r="A559" s="10">
        <v>5006</v>
      </c>
      <c r="B559" s="10">
        <v>3</v>
      </c>
      <c r="C559" s="10">
        <v>97</v>
      </c>
      <c r="D559" s="29">
        <v>464.63</v>
      </c>
      <c r="E559" s="29">
        <v>132.96700000000001</v>
      </c>
      <c r="F559" s="30">
        <v>45961</v>
      </c>
      <c r="G559" s="10">
        <v>0</v>
      </c>
      <c r="H559" s="10">
        <v>0</v>
      </c>
      <c r="I559" s="10">
        <v>0</v>
      </c>
      <c r="J559" t="s">
        <v>54</v>
      </c>
      <c r="K559" s="10">
        <v>8002</v>
      </c>
    </row>
    <row r="560" spans="1:11">
      <c r="A560" s="10">
        <v>5004</v>
      </c>
      <c r="B560" s="10">
        <v>1</v>
      </c>
      <c r="C560" s="10">
        <v>78</v>
      </c>
      <c r="D560" s="29">
        <v>742.56</v>
      </c>
      <c r="E560" s="29">
        <v>171.965</v>
      </c>
      <c r="F560" s="30">
        <v>45657</v>
      </c>
      <c r="G560" s="10">
        <v>0</v>
      </c>
      <c r="H560" s="10">
        <v>0</v>
      </c>
      <c r="I560" s="10">
        <v>0</v>
      </c>
      <c r="J560" t="s">
        <v>54</v>
      </c>
      <c r="K560" s="10">
        <v>8011</v>
      </c>
    </row>
    <row r="561" spans="1:11">
      <c r="A561" s="10">
        <v>5020</v>
      </c>
      <c r="B561" s="10">
        <v>1</v>
      </c>
      <c r="C561" s="10">
        <v>72</v>
      </c>
      <c r="D561" s="29">
        <v>601.91999999999996</v>
      </c>
      <c r="E561" s="29">
        <v>153.76</v>
      </c>
      <c r="F561" s="30">
        <v>45961</v>
      </c>
      <c r="G561" s="10">
        <v>0</v>
      </c>
      <c r="H561" s="10">
        <v>0</v>
      </c>
      <c r="I561" s="10">
        <v>0</v>
      </c>
      <c r="J561" t="s">
        <v>54</v>
      </c>
      <c r="K561" s="10">
        <v>8008</v>
      </c>
    </row>
    <row r="562" spans="1:11">
      <c r="A562" s="10">
        <v>5011</v>
      </c>
      <c r="B562" s="10">
        <v>1</v>
      </c>
      <c r="C562" s="10">
        <v>27</v>
      </c>
      <c r="D562" s="29">
        <v>562.14</v>
      </c>
      <c r="E562" s="29">
        <v>124.843</v>
      </c>
      <c r="F562" s="30">
        <v>45322</v>
      </c>
      <c r="G562" s="10">
        <v>0</v>
      </c>
      <c r="H562" s="10">
        <v>0</v>
      </c>
      <c r="I562" s="10">
        <v>0</v>
      </c>
      <c r="J562" t="s">
        <v>54</v>
      </c>
      <c r="K562" s="10">
        <v>8004</v>
      </c>
    </row>
    <row r="563" spans="1:11">
      <c r="A563" s="10">
        <v>5011</v>
      </c>
      <c r="B563" s="10">
        <v>2</v>
      </c>
      <c r="C563" s="10">
        <v>133</v>
      </c>
      <c r="D563" s="29">
        <v>1709.05</v>
      </c>
      <c r="E563" s="29">
        <v>545.85400000000004</v>
      </c>
      <c r="F563" s="30">
        <v>45900</v>
      </c>
      <c r="G563" s="10">
        <v>0</v>
      </c>
      <c r="H563" s="10">
        <v>0</v>
      </c>
      <c r="I563" s="10">
        <v>0</v>
      </c>
      <c r="J563" t="s">
        <v>54</v>
      </c>
      <c r="K563" s="10">
        <v>8008</v>
      </c>
    </row>
    <row r="564" spans="1:11">
      <c r="A564" s="10">
        <v>5011</v>
      </c>
      <c r="B564" s="10">
        <v>2</v>
      </c>
      <c r="C564" s="10">
        <v>45</v>
      </c>
      <c r="D564" s="29">
        <v>915.3</v>
      </c>
      <c r="E564" s="29">
        <v>354.32</v>
      </c>
      <c r="F564" s="30">
        <v>45596</v>
      </c>
      <c r="G564" s="10">
        <v>0</v>
      </c>
      <c r="H564" s="10">
        <v>0</v>
      </c>
      <c r="I564" s="10">
        <v>0</v>
      </c>
      <c r="J564" t="s">
        <v>54</v>
      </c>
      <c r="K564" s="10">
        <v>8002</v>
      </c>
    </row>
    <row r="565" spans="1:11">
      <c r="A565" s="10">
        <v>5007</v>
      </c>
      <c r="B565" s="10">
        <v>2</v>
      </c>
      <c r="C565" s="10">
        <v>223</v>
      </c>
      <c r="D565" s="29">
        <v>3659.43</v>
      </c>
      <c r="E565" s="29">
        <v>1252.7750000000001</v>
      </c>
      <c r="F565" s="30">
        <v>45504</v>
      </c>
      <c r="G565" s="10">
        <v>0</v>
      </c>
      <c r="H565" s="10">
        <v>0</v>
      </c>
      <c r="I565" s="10">
        <v>0</v>
      </c>
      <c r="J565" t="s">
        <v>54</v>
      </c>
      <c r="K565" s="10">
        <v>8002</v>
      </c>
    </row>
    <row r="566" spans="1:11">
      <c r="A566" s="10">
        <v>5005</v>
      </c>
      <c r="B566" s="10">
        <v>1</v>
      </c>
      <c r="C566" s="10">
        <v>292</v>
      </c>
      <c r="D566" s="29">
        <v>1877.56</v>
      </c>
      <c r="E566" s="29">
        <v>734.76300000000003</v>
      </c>
      <c r="F566" s="30">
        <v>45535</v>
      </c>
      <c r="G566" s="10">
        <v>0</v>
      </c>
      <c r="H566" s="10">
        <v>0</v>
      </c>
      <c r="I566" s="10">
        <v>0</v>
      </c>
      <c r="J566" t="s">
        <v>54</v>
      </c>
      <c r="K566" s="10">
        <v>8009</v>
      </c>
    </row>
    <row r="567" spans="1:11">
      <c r="A567" s="10">
        <v>5015</v>
      </c>
      <c r="B567" s="10">
        <v>2</v>
      </c>
      <c r="C567" s="10">
        <v>273</v>
      </c>
      <c r="D567" s="29">
        <v>3011.19</v>
      </c>
      <c r="E567" s="29">
        <v>1036.43</v>
      </c>
      <c r="F567" s="30">
        <v>45382</v>
      </c>
      <c r="G567" s="10">
        <v>0</v>
      </c>
      <c r="H567" s="10">
        <v>0</v>
      </c>
      <c r="I567" s="10">
        <v>0</v>
      </c>
      <c r="J567" t="s">
        <v>54</v>
      </c>
      <c r="K567" s="10">
        <v>8001</v>
      </c>
    </row>
    <row r="568" spans="1:11">
      <c r="A568" s="10">
        <v>5004</v>
      </c>
      <c r="B568" s="10">
        <v>1</v>
      </c>
      <c r="C568" s="10">
        <v>104</v>
      </c>
      <c r="D568" s="29">
        <v>2368.08</v>
      </c>
      <c r="E568" s="29">
        <v>438.68900000000002</v>
      </c>
      <c r="F568" s="30">
        <v>45961</v>
      </c>
      <c r="G568" s="10">
        <v>0</v>
      </c>
      <c r="H568" s="10">
        <v>0</v>
      </c>
      <c r="I568" s="10">
        <v>0</v>
      </c>
      <c r="J568" t="s">
        <v>54</v>
      </c>
      <c r="K568" s="10">
        <v>8001</v>
      </c>
    </row>
    <row r="569" spans="1:11">
      <c r="A569" s="10">
        <v>5008</v>
      </c>
      <c r="B569" s="10">
        <v>2</v>
      </c>
      <c r="C569" s="10">
        <v>77</v>
      </c>
      <c r="D569" s="29">
        <v>1207.3599999999999</v>
      </c>
      <c r="E569" s="29">
        <v>428.36</v>
      </c>
      <c r="F569" s="30">
        <v>45900</v>
      </c>
      <c r="G569" s="10">
        <v>0</v>
      </c>
      <c r="H569" s="10">
        <v>0</v>
      </c>
      <c r="I569" s="10">
        <v>0</v>
      </c>
      <c r="J569" t="s">
        <v>54</v>
      </c>
      <c r="K569" s="10">
        <v>8002</v>
      </c>
    </row>
    <row r="570" spans="1:11">
      <c r="A570" s="10">
        <v>5002</v>
      </c>
      <c r="B570" s="10">
        <v>2</v>
      </c>
      <c r="C570" s="10">
        <v>148</v>
      </c>
      <c r="D570" s="29">
        <v>2452.36</v>
      </c>
      <c r="E570" s="29">
        <v>498.73700000000002</v>
      </c>
      <c r="F570" s="30">
        <v>45626</v>
      </c>
      <c r="G570" s="10">
        <v>0</v>
      </c>
      <c r="H570" s="10">
        <v>0</v>
      </c>
      <c r="I570" s="10">
        <v>0</v>
      </c>
      <c r="J570" t="s">
        <v>54</v>
      </c>
      <c r="K570" s="10">
        <v>8010</v>
      </c>
    </row>
    <row r="571" spans="1:11">
      <c r="A571" s="10">
        <v>5006</v>
      </c>
      <c r="B571" s="10">
        <v>1</v>
      </c>
      <c r="C571" s="10">
        <v>370</v>
      </c>
      <c r="D571" s="29">
        <v>4303.1000000000004</v>
      </c>
      <c r="E571" s="29">
        <v>1041.0930000000001</v>
      </c>
      <c r="F571" s="30">
        <v>45473</v>
      </c>
      <c r="G571" s="10">
        <v>0</v>
      </c>
      <c r="H571" s="10">
        <v>0</v>
      </c>
      <c r="I571" s="10">
        <v>0</v>
      </c>
      <c r="J571" t="s">
        <v>54</v>
      </c>
      <c r="K571" s="10">
        <v>8004</v>
      </c>
    </row>
    <row r="572" spans="1:11">
      <c r="A572" s="10">
        <v>5005</v>
      </c>
      <c r="B572" s="10">
        <v>4</v>
      </c>
      <c r="C572" s="10">
        <v>103</v>
      </c>
      <c r="D572" s="29">
        <v>1844.73</v>
      </c>
      <c r="E572" s="29">
        <v>565.25800000000004</v>
      </c>
      <c r="F572" s="30">
        <v>46022</v>
      </c>
      <c r="G572" s="10">
        <v>0</v>
      </c>
      <c r="H572" s="10">
        <v>0</v>
      </c>
      <c r="I572" s="10">
        <v>0</v>
      </c>
      <c r="J572" t="s">
        <v>54</v>
      </c>
      <c r="K572" s="10">
        <v>8004</v>
      </c>
    </row>
    <row r="573" spans="1:11">
      <c r="A573" s="10">
        <v>5014</v>
      </c>
      <c r="B573" s="10">
        <v>1</v>
      </c>
      <c r="C573" s="10">
        <v>316</v>
      </c>
      <c r="D573" s="29">
        <v>3706.68</v>
      </c>
      <c r="E573" s="29">
        <v>1293.0440000000001</v>
      </c>
      <c r="F573" s="30">
        <v>45504</v>
      </c>
      <c r="G573" s="10">
        <v>0</v>
      </c>
      <c r="H573" s="10">
        <v>0</v>
      </c>
      <c r="I573" s="10">
        <v>0</v>
      </c>
      <c r="J573" t="s">
        <v>54</v>
      </c>
      <c r="K573" s="10">
        <v>8021</v>
      </c>
    </row>
    <row r="574" spans="1:11">
      <c r="A574" s="10">
        <v>5010</v>
      </c>
      <c r="B574" s="10">
        <v>6</v>
      </c>
      <c r="C574" s="10">
        <v>62</v>
      </c>
      <c r="D574" s="29">
        <v>525.14</v>
      </c>
      <c r="E574" s="29">
        <v>200.85900000000001</v>
      </c>
      <c r="F574" s="30">
        <v>46022</v>
      </c>
      <c r="G574" s="10">
        <v>0</v>
      </c>
      <c r="H574" s="10">
        <v>0</v>
      </c>
      <c r="I574" s="10">
        <v>0</v>
      </c>
      <c r="J574" t="s">
        <v>54</v>
      </c>
      <c r="K574" s="10">
        <v>8007</v>
      </c>
    </row>
    <row r="575" spans="1:11">
      <c r="A575" s="10">
        <v>5016</v>
      </c>
      <c r="B575" s="10">
        <v>1</v>
      </c>
      <c r="C575" s="10">
        <v>152</v>
      </c>
      <c r="D575" s="29">
        <v>2150.8000000000002</v>
      </c>
      <c r="E575" s="29">
        <v>430.64600000000002</v>
      </c>
      <c r="F575" s="30">
        <v>45322</v>
      </c>
      <c r="G575" s="10">
        <v>0</v>
      </c>
      <c r="H575" s="10">
        <v>0</v>
      </c>
      <c r="I575" s="10">
        <v>0</v>
      </c>
      <c r="J575" t="s">
        <v>54</v>
      </c>
      <c r="K575" s="10">
        <v>8011</v>
      </c>
    </row>
    <row r="576" spans="1:11">
      <c r="A576" s="10">
        <v>5005</v>
      </c>
      <c r="B576" s="10">
        <v>2</v>
      </c>
      <c r="C576" s="10">
        <v>147</v>
      </c>
      <c r="D576" s="29">
        <v>1024.5899999999999</v>
      </c>
      <c r="E576" s="29">
        <v>188.417</v>
      </c>
      <c r="F576" s="30">
        <v>45351</v>
      </c>
      <c r="G576" s="10">
        <v>0</v>
      </c>
      <c r="H576" s="10">
        <v>0</v>
      </c>
      <c r="I576" s="10">
        <v>0</v>
      </c>
      <c r="J576" t="s">
        <v>54</v>
      </c>
      <c r="K576" s="10">
        <v>8002</v>
      </c>
    </row>
    <row r="577" spans="1:11">
      <c r="A577" s="10">
        <v>5020</v>
      </c>
      <c r="B577" s="10">
        <v>3</v>
      </c>
      <c r="C577" s="10">
        <v>236</v>
      </c>
      <c r="D577" s="29">
        <v>1331.04</v>
      </c>
      <c r="E577" s="29">
        <v>451.61500000000001</v>
      </c>
      <c r="F577" s="30">
        <v>45626</v>
      </c>
      <c r="G577" s="10">
        <v>0</v>
      </c>
      <c r="H577" s="10">
        <v>0</v>
      </c>
      <c r="I577" s="10">
        <v>0</v>
      </c>
      <c r="J577" t="s">
        <v>54</v>
      </c>
      <c r="K577" s="10">
        <v>8013</v>
      </c>
    </row>
    <row r="578" spans="1:11">
      <c r="A578" s="10">
        <v>5020</v>
      </c>
      <c r="B578" s="10">
        <v>1</v>
      </c>
      <c r="C578" s="10">
        <v>-204</v>
      </c>
      <c r="D578" s="29">
        <v>-2976.36</v>
      </c>
      <c r="E578" s="29">
        <v>0</v>
      </c>
      <c r="F578" s="30">
        <v>45777</v>
      </c>
      <c r="G578" s="10">
        <v>1</v>
      </c>
      <c r="H578" s="10">
        <v>1</v>
      </c>
      <c r="I578" s="10">
        <v>0</v>
      </c>
      <c r="J578" t="s">
        <v>2</v>
      </c>
      <c r="K578" s="10">
        <v>8009</v>
      </c>
    </row>
    <row r="579" spans="1:11">
      <c r="A579" s="10">
        <v>5005</v>
      </c>
      <c r="B579" s="10">
        <v>2</v>
      </c>
      <c r="C579" s="10">
        <v>236</v>
      </c>
      <c r="D579" s="29">
        <v>4981.96</v>
      </c>
      <c r="E579" s="29">
        <v>1642.665</v>
      </c>
      <c r="F579" s="30">
        <v>45930</v>
      </c>
      <c r="G579" s="10">
        <v>0</v>
      </c>
      <c r="H579" s="10">
        <v>0</v>
      </c>
      <c r="I579" s="10">
        <v>0</v>
      </c>
      <c r="J579" t="s">
        <v>54</v>
      </c>
      <c r="K579" s="10">
        <v>8016</v>
      </c>
    </row>
    <row r="580" spans="1:11">
      <c r="A580" s="10">
        <v>5001</v>
      </c>
      <c r="B580" s="10">
        <v>2</v>
      </c>
      <c r="C580" s="10">
        <v>87</v>
      </c>
      <c r="D580" s="29">
        <v>235.77</v>
      </c>
      <c r="E580" s="29">
        <v>46.892000000000003</v>
      </c>
      <c r="F580" s="30">
        <v>45777</v>
      </c>
      <c r="G580" s="10">
        <v>0</v>
      </c>
      <c r="H580" s="10">
        <v>0</v>
      </c>
      <c r="I580" s="10">
        <v>0</v>
      </c>
      <c r="J580" t="s">
        <v>54</v>
      </c>
      <c r="K580" s="10">
        <v>8015</v>
      </c>
    </row>
    <row r="581" spans="1:11">
      <c r="A581" s="10">
        <v>5003</v>
      </c>
      <c r="B581" s="10">
        <v>3</v>
      </c>
      <c r="C581" s="10">
        <v>95</v>
      </c>
      <c r="D581" s="29">
        <v>1110.55</v>
      </c>
      <c r="E581" s="29">
        <v>323.42500000000001</v>
      </c>
      <c r="F581" s="30">
        <v>45688</v>
      </c>
      <c r="G581" s="10">
        <v>0</v>
      </c>
      <c r="H581" s="10">
        <v>0</v>
      </c>
      <c r="I581" s="10">
        <v>0</v>
      </c>
      <c r="J581" t="s">
        <v>54</v>
      </c>
      <c r="K581" s="10">
        <v>8001</v>
      </c>
    </row>
    <row r="582" spans="1:11">
      <c r="A582" s="10">
        <v>5004</v>
      </c>
      <c r="B582" s="10">
        <v>1</v>
      </c>
      <c r="C582" s="10">
        <v>-49</v>
      </c>
      <c r="D582" s="29">
        <v>-710.01</v>
      </c>
      <c r="E582" s="29">
        <v>0</v>
      </c>
      <c r="F582" s="30">
        <v>45504</v>
      </c>
      <c r="G582" s="10">
        <v>1</v>
      </c>
      <c r="H582" s="10">
        <v>1</v>
      </c>
      <c r="I582" s="10">
        <v>0</v>
      </c>
      <c r="J582" t="s">
        <v>2</v>
      </c>
      <c r="K582" s="10">
        <v>8005</v>
      </c>
    </row>
    <row r="583" spans="1:11">
      <c r="A583" s="10">
        <v>5008</v>
      </c>
      <c r="B583" s="10">
        <v>1</v>
      </c>
      <c r="C583" s="10">
        <v>61</v>
      </c>
      <c r="D583" s="29">
        <v>867.42</v>
      </c>
      <c r="E583" s="29">
        <v>285.88799999999998</v>
      </c>
      <c r="F583" s="30">
        <v>45412</v>
      </c>
      <c r="G583" s="10">
        <v>0</v>
      </c>
      <c r="H583" s="10">
        <v>0</v>
      </c>
      <c r="I583" s="10">
        <v>0</v>
      </c>
      <c r="J583" t="s">
        <v>54</v>
      </c>
      <c r="K583" s="10">
        <v>8014</v>
      </c>
    </row>
    <row r="584" spans="1:11">
      <c r="A584" s="10">
        <v>5010</v>
      </c>
      <c r="B584" s="10">
        <v>1</v>
      </c>
      <c r="C584" s="10">
        <v>46</v>
      </c>
      <c r="D584" s="29">
        <v>875.84</v>
      </c>
      <c r="E584" s="29">
        <v>350.57799999999997</v>
      </c>
      <c r="F584" s="30">
        <v>45504</v>
      </c>
      <c r="G584" s="10">
        <v>0</v>
      </c>
      <c r="H584" s="10">
        <v>0</v>
      </c>
      <c r="I584" s="10">
        <v>0</v>
      </c>
      <c r="J584" t="s">
        <v>54</v>
      </c>
      <c r="K584" s="10">
        <v>8013</v>
      </c>
    </row>
    <row r="585" spans="1:11">
      <c r="A585" s="10">
        <v>5011</v>
      </c>
      <c r="B585" s="10">
        <v>2</v>
      </c>
      <c r="C585" s="10">
        <v>-90</v>
      </c>
      <c r="D585" s="29">
        <v>-1348.2</v>
      </c>
      <c r="E585" s="29">
        <v>0</v>
      </c>
      <c r="F585" s="30">
        <v>45412</v>
      </c>
      <c r="G585" s="10">
        <v>1</v>
      </c>
      <c r="H585" s="10">
        <v>1</v>
      </c>
      <c r="I585" s="10">
        <v>0</v>
      </c>
      <c r="J585" t="s">
        <v>2</v>
      </c>
      <c r="K585" s="10">
        <v>8005</v>
      </c>
    </row>
    <row r="586" spans="1:11">
      <c r="A586" s="10">
        <v>5010</v>
      </c>
      <c r="B586" s="10">
        <v>2</v>
      </c>
      <c r="C586" s="10">
        <v>64</v>
      </c>
      <c r="D586" s="29">
        <v>179.2</v>
      </c>
      <c r="E586" s="29">
        <v>37.975999999999999</v>
      </c>
      <c r="F586" s="30">
        <v>46022</v>
      </c>
      <c r="G586" s="10">
        <v>0</v>
      </c>
      <c r="H586" s="10">
        <v>0</v>
      </c>
      <c r="I586" s="10">
        <v>0</v>
      </c>
      <c r="J586" t="s">
        <v>54</v>
      </c>
      <c r="K586" s="10">
        <v>8029</v>
      </c>
    </row>
    <row r="587" spans="1:11">
      <c r="A587" s="10">
        <v>5014</v>
      </c>
      <c r="B587" s="10">
        <v>1</v>
      </c>
      <c r="C587" s="10">
        <v>51</v>
      </c>
      <c r="D587" s="29">
        <v>1166.3699999999999</v>
      </c>
      <c r="E587" s="29">
        <v>450.07400000000001</v>
      </c>
      <c r="F587" s="30">
        <v>45626</v>
      </c>
      <c r="G587" s="10">
        <v>0</v>
      </c>
      <c r="H587" s="10">
        <v>0</v>
      </c>
      <c r="I587" s="10">
        <v>0</v>
      </c>
      <c r="J587" t="s">
        <v>54</v>
      </c>
      <c r="K587" s="10">
        <v>8018</v>
      </c>
    </row>
    <row r="588" spans="1:11">
      <c r="A588" s="10">
        <v>5001</v>
      </c>
      <c r="B588" s="10">
        <v>1</v>
      </c>
      <c r="C588" s="10">
        <v>140</v>
      </c>
      <c r="D588" s="29">
        <v>323.39999999999998</v>
      </c>
      <c r="E588" s="29">
        <v>96.981999999999999</v>
      </c>
      <c r="F588" s="30">
        <v>45961</v>
      </c>
      <c r="G588" s="10">
        <v>0</v>
      </c>
      <c r="H588" s="10">
        <v>0</v>
      </c>
      <c r="I588" s="10">
        <v>0</v>
      </c>
      <c r="J588" t="s">
        <v>54</v>
      </c>
      <c r="K588" s="10">
        <v>8011</v>
      </c>
    </row>
    <row r="589" spans="1:11">
      <c r="A589" s="10">
        <v>5008</v>
      </c>
      <c r="B589" s="10">
        <v>2</v>
      </c>
      <c r="C589" s="10">
        <v>187</v>
      </c>
      <c r="D589" s="29">
        <v>923.78</v>
      </c>
      <c r="E589" s="29">
        <v>152.221</v>
      </c>
      <c r="F589" s="30">
        <v>45504</v>
      </c>
      <c r="G589" s="10">
        <v>0</v>
      </c>
      <c r="H589" s="10">
        <v>0</v>
      </c>
      <c r="I589" s="10">
        <v>0</v>
      </c>
      <c r="J589" t="s">
        <v>54</v>
      </c>
      <c r="K589" s="10">
        <v>8003</v>
      </c>
    </row>
    <row r="590" spans="1:11">
      <c r="A590" s="10">
        <v>5011</v>
      </c>
      <c r="B590" s="10">
        <v>1</v>
      </c>
      <c r="C590" s="10">
        <v>91</v>
      </c>
      <c r="D590" s="29">
        <v>1758.12</v>
      </c>
      <c r="E590" s="29">
        <v>305.565</v>
      </c>
      <c r="F590" s="30">
        <v>45777</v>
      </c>
      <c r="G590" s="10">
        <v>0</v>
      </c>
      <c r="H590" s="10">
        <v>0</v>
      </c>
      <c r="I590" s="10">
        <v>0</v>
      </c>
      <c r="J590" t="s">
        <v>54</v>
      </c>
      <c r="K590" s="10">
        <v>8001</v>
      </c>
    </row>
    <row r="591" spans="1:11">
      <c r="A591" s="10">
        <v>5001</v>
      </c>
      <c r="B591" s="10">
        <v>1</v>
      </c>
      <c r="C591" s="10">
        <v>251</v>
      </c>
      <c r="D591" s="29">
        <v>4128.95</v>
      </c>
      <c r="E591" s="29">
        <v>681.11300000000006</v>
      </c>
      <c r="F591" s="30">
        <v>45838</v>
      </c>
      <c r="G591" s="10">
        <v>0</v>
      </c>
      <c r="H591" s="10">
        <v>0</v>
      </c>
      <c r="I591" s="10">
        <v>0</v>
      </c>
      <c r="J591" t="s">
        <v>54</v>
      </c>
      <c r="K591" s="10">
        <v>8005</v>
      </c>
    </row>
    <row r="592" spans="1:11">
      <c r="A592" s="10">
        <v>5011</v>
      </c>
      <c r="B592" s="10">
        <v>2</v>
      </c>
      <c r="C592" s="10">
        <v>379</v>
      </c>
      <c r="D592" s="29">
        <v>1519.79</v>
      </c>
      <c r="E592" s="29">
        <v>585.66800000000001</v>
      </c>
      <c r="F592" s="30">
        <v>45991</v>
      </c>
      <c r="G592" s="10">
        <v>0</v>
      </c>
      <c r="H592" s="10">
        <v>0</v>
      </c>
      <c r="I592" s="10">
        <v>0</v>
      </c>
      <c r="J592" t="s">
        <v>54</v>
      </c>
      <c r="K592" s="10">
        <v>8003</v>
      </c>
    </row>
    <row r="593" spans="1:11">
      <c r="A593" s="10">
        <v>5003</v>
      </c>
      <c r="B593" s="10">
        <v>2</v>
      </c>
      <c r="C593" s="10">
        <v>266</v>
      </c>
      <c r="D593" s="29">
        <v>606.48</v>
      </c>
      <c r="E593" s="29">
        <v>180.518</v>
      </c>
      <c r="F593" s="30">
        <v>45716</v>
      </c>
      <c r="G593" s="10">
        <v>0</v>
      </c>
      <c r="H593" s="10">
        <v>0</v>
      </c>
      <c r="I593" s="10">
        <v>0</v>
      </c>
      <c r="J593" t="s">
        <v>54</v>
      </c>
      <c r="K593" s="10">
        <v>8007</v>
      </c>
    </row>
    <row r="594" spans="1:11">
      <c r="A594" s="10">
        <v>5005</v>
      </c>
      <c r="B594" s="10">
        <v>2</v>
      </c>
      <c r="C594" s="10">
        <v>106</v>
      </c>
      <c r="D594" s="29">
        <v>1662.08</v>
      </c>
      <c r="E594" s="29">
        <v>688.67200000000003</v>
      </c>
      <c r="F594" s="30">
        <v>45596</v>
      </c>
      <c r="G594" s="10">
        <v>0</v>
      </c>
      <c r="H594" s="10">
        <v>0</v>
      </c>
      <c r="I594" s="10">
        <v>0</v>
      </c>
      <c r="J594" t="s">
        <v>54</v>
      </c>
      <c r="K594" s="10">
        <v>8002</v>
      </c>
    </row>
    <row r="595" spans="1:11">
      <c r="A595" s="10">
        <v>5016</v>
      </c>
      <c r="B595" s="10">
        <v>5</v>
      </c>
      <c r="C595" s="10">
        <v>-184</v>
      </c>
      <c r="D595" s="29">
        <v>-3659.76</v>
      </c>
      <c r="E595" s="29">
        <v>0</v>
      </c>
      <c r="F595" s="30">
        <v>45688</v>
      </c>
      <c r="G595" s="10">
        <v>1</v>
      </c>
      <c r="H595" s="10">
        <v>1</v>
      </c>
      <c r="I595" s="10">
        <v>0</v>
      </c>
      <c r="J595" t="s">
        <v>2</v>
      </c>
      <c r="K595" s="10">
        <v>8009</v>
      </c>
    </row>
    <row r="596" spans="1:11">
      <c r="A596" s="10">
        <v>5002</v>
      </c>
      <c r="B596" s="10">
        <v>3</v>
      </c>
      <c r="C596" s="10">
        <v>42</v>
      </c>
      <c r="D596" s="29">
        <v>431.76</v>
      </c>
      <c r="E596" s="29">
        <v>137.834</v>
      </c>
      <c r="F596" s="30">
        <v>45565</v>
      </c>
      <c r="G596" s="10">
        <v>0</v>
      </c>
      <c r="H596" s="10">
        <v>0</v>
      </c>
      <c r="I596" s="10">
        <v>0</v>
      </c>
      <c r="J596" t="s">
        <v>54</v>
      </c>
      <c r="K596" s="10">
        <v>8020</v>
      </c>
    </row>
    <row r="597" spans="1:11">
      <c r="A597" s="10">
        <v>5003</v>
      </c>
      <c r="B597" s="10">
        <v>1</v>
      </c>
      <c r="C597" s="10">
        <v>324</v>
      </c>
      <c r="D597" s="29">
        <v>7128</v>
      </c>
      <c r="E597" s="29">
        <v>2145.3910000000001</v>
      </c>
      <c r="F597" s="30">
        <v>45808</v>
      </c>
      <c r="G597" s="10">
        <v>0</v>
      </c>
      <c r="H597" s="10">
        <v>0</v>
      </c>
      <c r="I597" s="10">
        <v>0</v>
      </c>
      <c r="J597" t="s">
        <v>54</v>
      </c>
      <c r="K597" s="10">
        <v>8003</v>
      </c>
    </row>
    <row r="598" spans="1:11">
      <c r="A598" s="10">
        <v>5002</v>
      </c>
      <c r="B598" s="10">
        <v>4</v>
      </c>
      <c r="C598" s="10">
        <v>196</v>
      </c>
      <c r="D598" s="29">
        <v>1697.36</v>
      </c>
      <c r="E598" s="29">
        <v>502.74</v>
      </c>
      <c r="F598" s="30">
        <v>45504</v>
      </c>
      <c r="G598" s="10">
        <v>0</v>
      </c>
      <c r="H598" s="10">
        <v>0</v>
      </c>
      <c r="I598" s="10">
        <v>0</v>
      </c>
      <c r="J598" t="s">
        <v>54</v>
      </c>
      <c r="K598" s="10">
        <v>8008</v>
      </c>
    </row>
    <row r="599" spans="1:11">
      <c r="A599" s="10">
        <v>5030</v>
      </c>
      <c r="B599" s="10">
        <v>1</v>
      </c>
      <c r="C599" s="10">
        <v>294</v>
      </c>
      <c r="D599" s="29">
        <v>6515.04</v>
      </c>
      <c r="E599" s="29">
        <v>1986.491</v>
      </c>
      <c r="F599" s="30">
        <v>45443</v>
      </c>
      <c r="G599" s="10">
        <v>0</v>
      </c>
      <c r="H599" s="10">
        <v>0</v>
      </c>
      <c r="I599" s="10">
        <v>0</v>
      </c>
      <c r="J599" t="s">
        <v>54</v>
      </c>
      <c r="K599" s="10">
        <v>8027</v>
      </c>
    </row>
    <row r="600" spans="1:11">
      <c r="A600" s="10">
        <v>5002</v>
      </c>
      <c r="B600" s="10">
        <v>5</v>
      </c>
      <c r="C600" s="10">
        <v>152</v>
      </c>
      <c r="D600" s="29">
        <v>2856.08</v>
      </c>
      <c r="E600" s="29">
        <v>764.43100000000004</v>
      </c>
      <c r="F600" s="30">
        <v>46022</v>
      </c>
      <c r="G600" s="10">
        <v>0</v>
      </c>
      <c r="H600" s="10">
        <v>0</v>
      </c>
      <c r="I600" s="10">
        <v>0</v>
      </c>
      <c r="J600" t="s">
        <v>54</v>
      </c>
      <c r="K600" s="10">
        <v>8004</v>
      </c>
    </row>
    <row r="601" spans="1:11">
      <c r="A601" s="10">
        <v>5006</v>
      </c>
      <c r="B601" s="10">
        <v>5</v>
      </c>
      <c r="C601" s="10">
        <v>251</v>
      </c>
      <c r="D601" s="29">
        <v>1977.88</v>
      </c>
      <c r="E601" s="29">
        <v>371.36799999999999</v>
      </c>
      <c r="F601" s="30">
        <v>45626</v>
      </c>
      <c r="G601" s="10">
        <v>0</v>
      </c>
      <c r="H601" s="10">
        <v>0</v>
      </c>
      <c r="I601" s="10">
        <v>0</v>
      </c>
      <c r="J601" t="s">
        <v>54</v>
      </c>
      <c r="K601" s="10">
        <v>8022</v>
      </c>
    </row>
    <row r="602" spans="1:11">
      <c r="A602" s="10">
        <v>5014</v>
      </c>
      <c r="B602" s="10">
        <v>1</v>
      </c>
      <c r="C602" s="10">
        <v>156</v>
      </c>
      <c r="D602" s="29">
        <v>1081.08</v>
      </c>
      <c r="E602" s="29">
        <v>366.18200000000002</v>
      </c>
      <c r="F602" s="30">
        <v>45473</v>
      </c>
      <c r="G602" s="10">
        <v>0</v>
      </c>
      <c r="H602" s="10">
        <v>0</v>
      </c>
      <c r="I602" s="10">
        <v>0</v>
      </c>
      <c r="J602" t="s">
        <v>54</v>
      </c>
      <c r="K602" s="10">
        <v>8009</v>
      </c>
    </row>
    <row r="603" spans="1:11">
      <c r="A603" s="10">
        <v>5012</v>
      </c>
      <c r="B603" s="10">
        <v>2</v>
      </c>
      <c r="C603" s="10">
        <v>190</v>
      </c>
      <c r="D603" s="29">
        <v>3345.9</v>
      </c>
      <c r="E603" s="29">
        <v>1276.6400000000001</v>
      </c>
      <c r="F603" s="30">
        <v>45626</v>
      </c>
      <c r="G603" s="10">
        <v>0</v>
      </c>
      <c r="H603" s="10">
        <v>0</v>
      </c>
      <c r="I603" s="10">
        <v>0</v>
      </c>
      <c r="J603" t="s">
        <v>54</v>
      </c>
      <c r="K603" s="10">
        <v>8006</v>
      </c>
    </row>
    <row r="604" spans="1:11">
      <c r="A604" s="10">
        <v>5002</v>
      </c>
      <c r="B604" s="10">
        <v>1</v>
      </c>
      <c r="C604" s="10">
        <v>216</v>
      </c>
      <c r="D604" s="29">
        <v>460.08</v>
      </c>
      <c r="E604" s="29">
        <v>123.021</v>
      </c>
      <c r="F604" s="30">
        <v>45688</v>
      </c>
      <c r="G604" s="10">
        <v>0</v>
      </c>
      <c r="H604" s="10">
        <v>0</v>
      </c>
      <c r="I604" s="10">
        <v>0</v>
      </c>
      <c r="J604" t="s">
        <v>54</v>
      </c>
      <c r="K604" s="10">
        <v>8002</v>
      </c>
    </row>
    <row r="605" spans="1:11">
      <c r="A605" s="10">
        <v>5029</v>
      </c>
      <c r="B605" s="10">
        <v>1</v>
      </c>
      <c r="C605" s="10">
        <v>290</v>
      </c>
      <c r="D605" s="29">
        <v>6867.2</v>
      </c>
      <c r="E605" s="29">
        <v>1973.5309999999999</v>
      </c>
      <c r="F605" s="30">
        <v>45900</v>
      </c>
      <c r="G605" s="10">
        <v>0</v>
      </c>
      <c r="H605" s="10">
        <v>0</v>
      </c>
      <c r="I605" s="10">
        <v>0</v>
      </c>
      <c r="J605" t="s">
        <v>54</v>
      </c>
      <c r="K605" s="10">
        <v>8014</v>
      </c>
    </row>
    <row r="606" spans="1:11">
      <c r="A606" s="10">
        <v>5007</v>
      </c>
      <c r="B606" s="10">
        <v>2</v>
      </c>
      <c r="C606" s="10">
        <v>37</v>
      </c>
      <c r="D606" s="29">
        <v>670.44</v>
      </c>
      <c r="E606" s="29">
        <v>161.81299999999999</v>
      </c>
      <c r="F606" s="30">
        <v>45596</v>
      </c>
      <c r="G606" s="10">
        <v>0</v>
      </c>
      <c r="H606" s="10">
        <v>0</v>
      </c>
      <c r="I606" s="10">
        <v>0</v>
      </c>
      <c r="J606" t="s">
        <v>54</v>
      </c>
      <c r="K606" s="10">
        <v>8003</v>
      </c>
    </row>
    <row r="607" spans="1:11">
      <c r="A607" s="10">
        <v>5013</v>
      </c>
      <c r="B607" s="10">
        <v>2</v>
      </c>
      <c r="C607" s="10">
        <v>240</v>
      </c>
      <c r="D607" s="29">
        <v>4624.8</v>
      </c>
      <c r="E607" s="29">
        <v>1283.0050000000001</v>
      </c>
      <c r="F607" s="30">
        <v>45808</v>
      </c>
      <c r="G607" s="10">
        <v>0</v>
      </c>
      <c r="H607" s="10">
        <v>0</v>
      </c>
      <c r="I607" s="10">
        <v>0</v>
      </c>
      <c r="J607" t="s">
        <v>54</v>
      </c>
      <c r="K607" s="10">
        <v>8009</v>
      </c>
    </row>
    <row r="608" spans="1:11">
      <c r="A608" s="10">
        <v>5001</v>
      </c>
      <c r="B608" s="10">
        <v>2</v>
      </c>
      <c r="C608" s="10">
        <v>115</v>
      </c>
      <c r="D608" s="29">
        <v>2083.8000000000002</v>
      </c>
      <c r="E608" s="29">
        <v>613.03899999999999</v>
      </c>
      <c r="F608" s="30">
        <v>45961</v>
      </c>
      <c r="G608" s="10">
        <v>0</v>
      </c>
      <c r="H608" s="10">
        <v>0</v>
      </c>
      <c r="I608" s="10">
        <v>0</v>
      </c>
      <c r="J608" t="s">
        <v>54</v>
      </c>
      <c r="K608" s="10">
        <v>8030</v>
      </c>
    </row>
    <row r="609" spans="1:11">
      <c r="A609" s="10">
        <v>5001</v>
      </c>
      <c r="B609" s="10">
        <v>2</v>
      </c>
      <c r="C609" s="10">
        <v>87</v>
      </c>
      <c r="D609" s="29">
        <v>1754.79</v>
      </c>
      <c r="E609" s="29">
        <v>473.51299999999998</v>
      </c>
      <c r="F609" s="30">
        <v>45808</v>
      </c>
      <c r="G609" s="10">
        <v>0</v>
      </c>
      <c r="H609" s="10">
        <v>0</v>
      </c>
      <c r="I609" s="10">
        <v>0</v>
      </c>
      <c r="J609" t="s">
        <v>54</v>
      </c>
      <c r="K609" s="10">
        <v>8004</v>
      </c>
    </row>
    <row r="610" spans="1:11">
      <c r="A610" s="10">
        <v>5001</v>
      </c>
      <c r="B610" s="10">
        <v>1</v>
      </c>
      <c r="C610" s="10">
        <v>241</v>
      </c>
      <c r="D610" s="29">
        <v>2851.03</v>
      </c>
      <c r="E610" s="29">
        <v>540.05499999999995</v>
      </c>
      <c r="F610" s="30">
        <v>45808</v>
      </c>
      <c r="G610" s="10">
        <v>0</v>
      </c>
      <c r="H610" s="10">
        <v>0</v>
      </c>
      <c r="I610" s="10">
        <v>0</v>
      </c>
      <c r="J610" t="s">
        <v>54</v>
      </c>
      <c r="K610" s="10">
        <v>8007</v>
      </c>
    </row>
    <row r="611" spans="1:11">
      <c r="A611" s="10">
        <v>5023</v>
      </c>
      <c r="B611" s="10">
        <v>1</v>
      </c>
      <c r="C611" s="10">
        <v>118</v>
      </c>
      <c r="D611" s="29">
        <v>1393.58</v>
      </c>
      <c r="E611" s="29">
        <v>436.86200000000002</v>
      </c>
      <c r="F611" s="30">
        <v>45930</v>
      </c>
      <c r="G611" s="10">
        <v>0</v>
      </c>
      <c r="H611" s="10">
        <v>0</v>
      </c>
      <c r="I611" s="10">
        <v>0</v>
      </c>
      <c r="J611" t="s">
        <v>54</v>
      </c>
      <c r="K611" s="10">
        <v>8011</v>
      </c>
    </row>
    <row r="612" spans="1:11">
      <c r="A612" s="10">
        <v>5003</v>
      </c>
      <c r="B612" s="10">
        <v>1</v>
      </c>
      <c r="C612" s="10">
        <v>191</v>
      </c>
      <c r="D612" s="29">
        <v>4190.54</v>
      </c>
      <c r="E612" s="29">
        <v>1453.1849999999999</v>
      </c>
      <c r="F612" s="30">
        <v>45869</v>
      </c>
      <c r="G612" s="10">
        <v>0</v>
      </c>
      <c r="H612" s="10">
        <v>0</v>
      </c>
      <c r="I612" s="10">
        <v>0</v>
      </c>
      <c r="J612" t="s">
        <v>54</v>
      </c>
      <c r="K612" s="10">
        <v>8006</v>
      </c>
    </row>
    <row r="613" spans="1:11">
      <c r="A613" s="10">
        <v>5002</v>
      </c>
      <c r="B613" s="10">
        <v>2</v>
      </c>
      <c r="C613" s="10">
        <v>133</v>
      </c>
      <c r="D613" s="29">
        <v>1373.89</v>
      </c>
      <c r="E613" s="29">
        <v>402.59500000000003</v>
      </c>
      <c r="F613" s="30">
        <v>45443</v>
      </c>
      <c r="G613" s="10">
        <v>0</v>
      </c>
      <c r="H613" s="10">
        <v>0</v>
      </c>
      <c r="I613" s="10">
        <v>0</v>
      </c>
      <c r="J613" t="s">
        <v>54</v>
      </c>
      <c r="K613" s="10">
        <v>8006</v>
      </c>
    </row>
    <row r="614" spans="1:11">
      <c r="A614" s="10">
        <v>5005</v>
      </c>
      <c r="B614" s="10">
        <v>4</v>
      </c>
      <c r="C614" s="10">
        <v>237</v>
      </c>
      <c r="D614" s="29">
        <v>3400.95</v>
      </c>
      <c r="E614" s="29">
        <v>676.86800000000005</v>
      </c>
      <c r="F614" s="30">
        <v>46022</v>
      </c>
      <c r="G614" s="10">
        <v>0</v>
      </c>
      <c r="H614" s="10">
        <v>0</v>
      </c>
      <c r="I614" s="10">
        <v>0</v>
      </c>
      <c r="J614" t="s">
        <v>54</v>
      </c>
      <c r="K614" s="10">
        <v>8004</v>
      </c>
    </row>
    <row r="615" spans="1:11">
      <c r="A615" s="10">
        <v>5003</v>
      </c>
      <c r="B615" s="10">
        <v>2</v>
      </c>
      <c r="C615" s="10">
        <v>110</v>
      </c>
      <c r="D615" s="29">
        <v>2074.6</v>
      </c>
      <c r="E615" s="29">
        <v>669.84199999999998</v>
      </c>
      <c r="F615" s="30">
        <v>45991</v>
      </c>
      <c r="G615" s="10">
        <v>0</v>
      </c>
      <c r="H615" s="10">
        <v>0</v>
      </c>
      <c r="I615" s="10">
        <v>0</v>
      </c>
      <c r="J615" t="s">
        <v>54</v>
      </c>
      <c r="K615" s="10">
        <v>8012</v>
      </c>
    </row>
    <row r="616" spans="1:11">
      <c r="A616" s="10">
        <v>5002</v>
      </c>
      <c r="B616" s="10">
        <v>3</v>
      </c>
      <c r="C616" s="10">
        <v>70</v>
      </c>
      <c r="D616" s="29">
        <v>838.6</v>
      </c>
      <c r="E616" s="29">
        <v>252.679</v>
      </c>
      <c r="F616" s="30">
        <v>45443</v>
      </c>
      <c r="G616" s="10">
        <v>0</v>
      </c>
      <c r="H616" s="10">
        <v>0</v>
      </c>
      <c r="I616" s="10">
        <v>0</v>
      </c>
      <c r="J616" t="s">
        <v>54</v>
      </c>
      <c r="K616" s="10">
        <v>8003</v>
      </c>
    </row>
    <row r="617" spans="1:11">
      <c r="A617" s="10">
        <v>5019</v>
      </c>
      <c r="B617" s="10">
        <v>3</v>
      </c>
      <c r="C617" s="10">
        <v>-111</v>
      </c>
      <c r="D617" s="29">
        <v>-1211.01</v>
      </c>
      <c r="E617" s="29">
        <v>0</v>
      </c>
      <c r="F617" s="30">
        <v>45322</v>
      </c>
      <c r="G617" s="10">
        <v>1</v>
      </c>
      <c r="H617" s="10">
        <v>1</v>
      </c>
      <c r="I617" s="10">
        <v>0</v>
      </c>
      <c r="J617" t="s">
        <v>2</v>
      </c>
      <c r="K617" s="10">
        <v>8003</v>
      </c>
    </row>
    <row r="618" spans="1:11">
      <c r="A618" s="10">
        <v>5009</v>
      </c>
      <c r="B618" s="10">
        <v>2</v>
      </c>
      <c r="C618" s="10">
        <v>219</v>
      </c>
      <c r="D618" s="29">
        <v>632.91</v>
      </c>
      <c r="E618" s="29">
        <v>208.767</v>
      </c>
      <c r="F618" s="30">
        <v>45535</v>
      </c>
      <c r="G618" s="10">
        <v>0</v>
      </c>
      <c r="H618" s="10">
        <v>0</v>
      </c>
      <c r="I618" s="10">
        <v>0</v>
      </c>
      <c r="J618" t="s">
        <v>54</v>
      </c>
      <c r="K618" s="10">
        <v>8009</v>
      </c>
    </row>
    <row r="619" spans="1:11">
      <c r="A619" s="10">
        <v>5018</v>
      </c>
      <c r="B619" s="10">
        <v>4</v>
      </c>
      <c r="C619" s="10">
        <v>-72</v>
      </c>
      <c r="D619" s="29">
        <v>-1600.56</v>
      </c>
      <c r="E619" s="29">
        <v>0</v>
      </c>
      <c r="F619" s="30">
        <v>45351</v>
      </c>
      <c r="G619" s="10">
        <v>1</v>
      </c>
      <c r="H619" s="10">
        <v>1</v>
      </c>
      <c r="I619" s="10">
        <v>0</v>
      </c>
      <c r="J619" t="s">
        <v>2</v>
      </c>
      <c r="K619" s="10">
        <v>8010</v>
      </c>
    </row>
    <row r="620" spans="1:11">
      <c r="A620" s="10">
        <v>5011</v>
      </c>
      <c r="B620" s="10">
        <v>3</v>
      </c>
      <c r="C620" s="10">
        <v>136</v>
      </c>
      <c r="D620" s="29">
        <v>2622.08</v>
      </c>
      <c r="E620" s="29">
        <v>729.95500000000004</v>
      </c>
      <c r="F620" s="30">
        <v>45473</v>
      </c>
      <c r="G620" s="10">
        <v>0</v>
      </c>
      <c r="H620" s="10">
        <v>0</v>
      </c>
      <c r="I620" s="10">
        <v>0</v>
      </c>
      <c r="J620" t="s">
        <v>54</v>
      </c>
      <c r="K620" s="10">
        <v>8009</v>
      </c>
    </row>
    <row r="621" spans="1:11">
      <c r="A621" s="10">
        <v>5022</v>
      </c>
      <c r="B621" s="10">
        <v>1</v>
      </c>
      <c r="C621" s="10">
        <v>-108</v>
      </c>
      <c r="D621" s="29">
        <v>-1102.68</v>
      </c>
      <c r="E621" s="29">
        <v>0</v>
      </c>
      <c r="F621" s="30">
        <v>45777</v>
      </c>
      <c r="G621" s="10">
        <v>1</v>
      </c>
      <c r="H621" s="10">
        <v>1</v>
      </c>
      <c r="I621" s="10">
        <v>0</v>
      </c>
      <c r="J621" t="s">
        <v>2</v>
      </c>
      <c r="K621" s="10">
        <v>8001</v>
      </c>
    </row>
    <row r="622" spans="1:11">
      <c r="A622" s="10">
        <v>5004</v>
      </c>
      <c r="B622" s="10">
        <v>3</v>
      </c>
      <c r="C622" s="10">
        <v>74</v>
      </c>
      <c r="D622" s="29">
        <v>999</v>
      </c>
      <c r="E622" s="29">
        <v>340.57499999999999</v>
      </c>
      <c r="F622" s="30">
        <v>45747</v>
      </c>
      <c r="G622" s="10">
        <v>0</v>
      </c>
      <c r="H622" s="10">
        <v>0</v>
      </c>
      <c r="I622" s="10">
        <v>0</v>
      </c>
      <c r="J622" t="s">
        <v>54</v>
      </c>
      <c r="K622" s="10">
        <v>8002</v>
      </c>
    </row>
    <row r="623" spans="1:11">
      <c r="A623" s="10">
        <v>5002</v>
      </c>
      <c r="B623" s="10">
        <v>3</v>
      </c>
      <c r="C623" s="10">
        <v>287</v>
      </c>
      <c r="D623" s="29">
        <v>3598.98</v>
      </c>
      <c r="E623" s="29">
        <v>1449.712</v>
      </c>
      <c r="F623" s="30">
        <v>45808</v>
      </c>
      <c r="G623" s="10">
        <v>0</v>
      </c>
      <c r="H623" s="10">
        <v>0</v>
      </c>
      <c r="I623" s="10">
        <v>0</v>
      </c>
      <c r="J623" t="s">
        <v>54</v>
      </c>
      <c r="K623" s="10">
        <v>8013</v>
      </c>
    </row>
    <row r="624" spans="1:11">
      <c r="A624" s="10">
        <v>5004</v>
      </c>
      <c r="B624" s="10">
        <v>1</v>
      </c>
      <c r="C624" s="10">
        <v>160</v>
      </c>
      <c r="D624" s="29">
        <v>3822.4</v>
      </c>
      <c r="E624" s="29">
        <v>740.49599999999998</v>
      </c>
      <c r="F624" s="30">
        <v>46022</v>
      </c>
      <c r="G624" s="10">
        <v>0</v>
      </c>
      <c r="H624" s="10">
        <v>0</v>
      </c>
      <c r="I624" s="10">
        <v>0</v>
      </c>
      <c r="J624" t="s">
        <v>54</v>
      </c>
      <c r="K624" s="10">
        <v>8009</v>
      </c>
    </row>
    <row r="625" spans="1:11">
      <c r="A625" s="10">
        <v>5008</v>
      </c>
      <c r="B625" s="10">
        <v>2</v>
      </c>
      <c r="C625" s="10">
        <v>64</v>
      </c>
      <c r="D625" s="29">
        <v>981.12</v>
      </c>
      <c r="E625" s="29">
        <v>406.779</v>
      </c>
      <c r="F625" s="30">
        <v>45747</v>
      </c>
      <c r="G625" s="10">
        <v>0</v>
      </c>
      <c r="H625" s="10">
        <v>0</v>
      </c>
      <c r="I625" s="10">
        <v>0</v>
      </c>
      <c r="J625" t="s">
        <v>54</v>
      </c>
      <c r="K625" s="10">
        <v>8010</v>
      </c>
    </row>
    <row r="626" spans="1:11">
      <c r="A626" s="10">
        <v>5001</v>
      </c>
      <c r="B626" s="10">
        <v>1</v>
      </c>
      <c r="C626" s="10">
        <v>249</v>
      </c>
      <c r="D626" s="29">
        <v>4867.95</v>
      </c>
      <c r="E626" s="29">
        <v>1302.9100000000001</v>
      </c>
      <c r="F626" s="30">
        <v>45322</v>
      </c>
      <c r="G626" s="10">
        <v>0</v>
      </c>
      <c r="H626" s="10">
        <v>0</v>
      </c>
      <c r="I626" s="10">
        <v>0</v>
      </c>
      <c r="J626" t="s">
        <v>54</v>
      </c>
      <c r="K626" s="10">
        <v>8009</v>
      </c>
    </row>
    <row r="627" spans="1:11">
      <c r="A627" s="10">
        <v>5009</v>
      </c>
      <c r="B627" s="10">
        <v>1</v>
      </c>
      <c r="C627" s="10">
        <v>82</v>
      </c>
      <c r="D627" s="29">
        <v>660.1</v>
      </c>
      <c r="E627" s="29">
        <v>158.43799999999999</v>
      </c>
      <c r="F627" s="30">
        <v>45596</v>
      </c>
      <c r="G627" s="10">
        <v>0</v>
      </c>
      <c r="H627" s="10">
        <v>0</v>
      </c>
      <c r="I627" s="10">
        <v>0</v>
      </c>
      <c r="J627" t="s">
        <v>54</v>
      </c>
      <c r="K627" s="10">
        <v>8010</v>
      </c>
    </row>
    <row r="628" spans="1:11">
      <c r="A628" s="10">
        <v>5005</v>
      </c>
      <c r="B628" s="10">
        <v>3</v>
      </c>
      <c r="C628" s="10">
        <v>86</v>
      </c>
      <c r="D628" s="29">
        <v>1537.68</v>
      </c>
      <c r="E628" s="29">
        <v>257.67</v>
      </c>
      <c r="F628" s="30">
        <v>45688</v>
      </c>
      <c r="G628" s="10">
        <v>0</v>
      </c>
      <c r="H628" s="10">
        <v>0</v>
      </c>
      <c r="I628" s="10">
        <v>0</v>
      </c>
      <c r="J628" t="s">
        <v>54</v>
      </c>
      <c r="K628" s="10">
        <v>8001</v>
      </c>
    </row>
    <row r="629" spans="1:11">
      <c r="A629" s="10">
        <v>5005</v>
      </c>
      <c r="B629" s="10">
        <v>3</v>
      </c>
      <c r="C629" s="10">
        <v>236</v>
      </c>
      <c r="D629" s="29">
        <v>4602</v>
      </c>
      <c r="E629" s="29">
        <v>1312.4390000000001</v>
      </c>
      <c r="F629" s="30">
        <v>45473</v>
      </c>
      <c r="G629" s="10">
        <v>0</v>
      </c>
      <c r="H629" s="10">
        <v>0</v>
      </c>
      <c r="I629" s="10">
        <v>0</v>
      </c>
      <c r="J629" t="s">
        <v>54</v>
      </c>
      <c r="K629" s="10">
        <v>8004</v>
      </c>
    </row>
    <row r="630" spans="1:11">
      <c r="A630" s="10">
        <v>5019</v>
      </c>
      <c r="B630" s="10">
        <v>1</v>
      </c>
      <c r="C630" s="10">
        <v>223</v>
      </c>
      <c r="D630" s="29">
        <v>2450.77</v>
      </c>
      <c r="E630" s="29">
        <v>924.25300000000004</v>
      </c>
      <c r="F630" s="30">
        <v>45808</v>
      </c>
      <c r="G630" s="10">
        <v>0</v>
      </c>
      <c r="H630" s="10">
        <v>0</v>
      </c>
      <c r="I630" s="10">
        <v>0</v>
      </c>
      <c r="J630" t="s">
        <v>54</v>
      </c>
      <c r="K630" s="10">
        <v>8008</v>
      </c>
    </row>
    <row r="631" spans="1:11">
      <c r="A631" s="10">
        <v>5012</v>
      </c>
      <c r="B631" s="10">
        <v>2</v>
      </c>
      <c r="C631" s="10">
        <v>76</v>
      </c>
      <c r="D631" s="29">
        <v>1293.52</v>
      </c>
      <c r="E631" s="29">
        <v>505.62099999999998</v>
      </c>
      <c r="F631" s="30">
        <v>45596</v>
      </c>
      <c r="G631" s="10">
        <v>0</v>
      </c>
      <c r="H631" s="10">
        <v>0</v>
      </c>
      <c r="I631" s="10">
        <v>0</v>
      </c>
      <c r="J631" t="s">
        <v>54</v>
      </c>
      <c r="K631" s="10">
        <v>8004</v>
      </c>
    </row>
    <row r="632" spans="1:11">
      <c r="A632" s="10">
        <v>5027</v>
      </c>
      <c r="B632" s="10">
        <v>1</v>
      </c>
      <c r="C632" s="10">
        <v>425</v>
      </c>
      <c r="D632" s="29">
        <v>6676.75</v>
      </c>
      <c r="E632" s="29">
        <v>2059.4780000000001</v>
      </c>
      <c r="F632" s="30">
        <v>45626</v>
      </c>
      <c r="G632" s="10">
        <v>0</v>
      </c>
      <c r="H632" s="10">
        <v>0</v>
      </c>
      <c r="I632" s="10">
        <v>0</v>
      </c>
      <c r="J632" t="s">
        <v>54</v>
      </c>
      <c r="K632" s="10">
        <v>8003</v>
      </c>
    </row>
    <row r="633" spans="1:11">
      <c r="A633" s="10">
        <v>5010</v>
      </c>
      <c r="B633" s="10">
        <v>4</v>
      </c>
      <c r="C633" s="10">
        <v>-188</v>
      </c>
      <c r="D633" s="29">
        <v>-1650.64</v>
      </c>
      <c r="E633" s="29">
        <v>0</v>
      </c>
      <c r="F633" s="30">
        <v>45626</v>
      </c>
      <c r="G633" s="10">
        <v>1</v>
      </c>
      <c r="H633" s="10">
        <v>1</v>
      </c>
      <c r="I633" s="10">
        <v>0</v>
      </c>
      <c r="J633" t="s">
        <v>2</v>
      </c>
      <c r="K633" s="10">
        <v>8018</v>
      </c>
    </row>
    <row r="634" spans="1:11">
      <c r="A634" s="10">
        <v>5003</v>
      </c>
      <c r="B634" s="10">
        <v>6</v>
      </c>
      <c r="C634" s="10">
        <v>46</v>
      </c>
      <c r="D634" s="29">
        <v>391.46</v>
      </c>
      <c r="E634" s="29">
        <v>142.52500000000001</v>
      </c>
      <c r="F634" s="30">
        <v>45688</v>
      </c>
      <c r="G634" s="10">
        <v>0</v>
      </c>
      <c r="H634" s="10">
        <v>0</v>
      </c>
      <c r="I634" s="10">
        <v>0</v>
      </c>
      <c r="J634" t="s">
        <v>54</v>
      </c>
      <c r="K634" s="10">
        <v>8006</v>
      </c>
    </row>
    <row r="635" spans="1:11">
      <c r="A635" s="10">
        <v>5020</v>
      </c>
      <c r="B635" s="10">
        <v>1</v>
      </c>
      <c r="C635" s="10">
        <v>135</v>
      </c>
      <c r="D635" s="29">
        <v>1741.5</v>
      </c>
      <c r="E635" s="29">
        <v>696.85299999999995</v>
      </c>
      <c r="F635" s="30">
        <v>45930</v>
      </c>
      <c r="G635" s="10">
        <v>0</v>
      </c>
      <c r="H635" s="10">
        <v>0</v>
      </c>
      <c r="I635" s="10">
        <v>0</v>
      </c>
      <c r="J635" t="s">
        <v>54</v>
      </c>
      <c r="K635" s="10">
        <v>8006</v>
      </c>
    </row>
    <row r="636" spans="1:11">
      <c r="A636" s="10">
        <v>5008</v>
      </c>
      <c r="B636" s="10">
        <v>1</v>
      </c>
      <c r="C636" s="10">
        <v>260</v>
      </c>
      <c r="D636" s="29">
        <v>5213</v>
      </c>
      <c r="E636" s="29">
        <v>1751.289</v>
      </c>
      <c r="F636" s="30">
        <v>45900</v>
      </c>
      <c r="G636" s="10">
        <v>0</v>
      </c>
      <c r="H636" s="10">
        <v>0</v>
      </c>
      <c r="I636" s="10">
        <v>0</v>
      </c>
      <c r="J636" t="s">
        <v>54</v>
      </c>
      <c r="K636" s="10">
        <v>8015</v>
      </c>
    </row>
    <row r="637" spans="1:11">
      <c r="A637" s="10">
        <v>5012</v>
      </c>
      <c r="B637" s="10">
        <v>3</v>
      </c>
      <c r="C637" s="10">
        <v>120</v>
      </c>
      <c r="D637" s="29">
        <v>226.8</v>
      </c>
      <c r="E637" s="29">
        <v>76.802000000000007</v>
      </c>
      <c r="F637" s="30">
        <v>45443</v>
      </c>
      <c r="G637" s="10">
        <v>0</v>
      </c>
      <c r="H637" s="10">
        <v>0</v>
      </c>
      <c r="I637" s="10">
        <v>0</v>
      </c>
      <c r="J637" t="s">
        <v>54</v>
      </c>
      <c r="K637" s="10">
        <v>8006</v>
      </c>
    </row>
    <row r="638" spans="1:11">
      <c r="A638" s="10">
        <v>5002</v>
      </c>
      <c r="B638" s="10">
        <v>1</v>
      </c>
      <c r="C638" s="10">
        <v>144</v>
      </c>
      <c r="D638" s="29">
        <v>2365.92</v>
      </c>
      <c r="E638" s="29">
        <v>733.827</v>
      </c>
      <c r="F638" s="30">
        <v>45777</v>
      </c>
      <c r="G638" s="10">
        <v>0</v>
      </c>
      <c r="H638" s="10">
        <v>0</v>
      </c>
      <c r="I638" s="10">
        <v>0</v>
      </c>
      <c r="J638" t="s">
        <v>54</v>
      </c>
      <c r="K638" s="10">
        <v>8006</v>
      </c>
    </row>
    <row r="639" spans="1:11">
      <c r="A639" s="10">
        <v>5019</v>
      </c>
      <c r="B639" s="10">
        <v>1</v>
      </c>
      <c r="C639" s="10">
        <v>98</v>
      </c>
      <c r="D639" s="29">
        <v>871.22</v>
      </c>
      <c r="E639" s="29">
        <v>166.04499999999999</v>
      </c>
      <c r="F639" s="30">
        <v>45596</v>
      </c>
      <c r="G639" s="10">
        <v>0</v>
      </c>
      <c r="H639" s="10">
        <v>0</v>
      </c>
      <c r="I639" s="10">
        <v>0</v>
      </c>
      <c r="J639" t="s">
        <v>54</v>
      </c>
      <c r="K639" s="10">
        <v>8004</v>
      </c>
    </row>
    <row r="640" spans="1:11">
      <c r="A640" s="10">
        <v>5004</v>
      </c>
      <c r="B640" s="10">
        <v>3</v>
      </c>
      <c r="C640" s="10">
        <v>119</v>
      </c>
      <c r="D640" s="29">
        <v>760.41</v>
      </c>
      <c r="E640" s="29">
        <v>184.63200000000001</v>
      </c>
      <c r="F640" s="30">
        <v>45443</v>
      </c>
      <c r="G640" s="10">
        <v>0</v>
      </c>
      <c r="H640" s="10">
        <v>0</v>
      </c>
      <c r="I640" s="10">
        <v>0</v>
      </c>
      <c r="J640" t="s">
        <v>54</v>
      </c>
      <c r="K640" s="10">
        <v>8001</v>
      </c>
    </row>
    <row r="641" spans="1:11">
      <c r="A641" s="10">
        <v>5012</v>
      </c>
      <c r="B641" s="10">
        <v>1</v>
      </c>
      <c r="C641" s="10">
        <v>46</v>
      </c>
      <c r="D641" s="29">
        <v>708.86</v>
      </c>
      <c r="E641" s="29">
        <v>195.18299999999999</v>
      </c>
      <c r="F641" s="30">
        <v>45443</v>
      </c>
      <c r="G641" s="10">
        <v>0</v>
      </c>
      <c r="H641" s="10">
        <v>0</v>
      </c>
      <c r="I641" s="10">
        <v>0</v>
      </c>
      <c r="J641" t="s">
        <v>54</v>
      </c>
      <c r="K641" s="10">
        <v>8003</v>
      </c>
    </row>
    <row r="642" spans="1:11">
      <c r="A642" s="10">
        <v>5007</v>
      </c>
      <c r="B642" s="10">
        <v>1</v>
      </c>
      <c r="C642" s="10">
        <v>41</v>
      </c>
      <c r="D642" s="29">
        <v>462.07</v>
      </c>
      <c r="E642" s="29">
        <v>145.548</v>
      </c>
      <c r="F642" s="30">
        <v>45443</v>
      </c>
      <c r="G642" s="10">
        <v>0</v>
      </c>
      <c r="H642" s="10">
        <v>0</v>
      </c>
      <c r="I642" s="10">
        <v>0</v>
      </c>
      <c r="J642" t="s">
        <v>54</v>
      </c>
      <c r="K642" s="10">
        <v>8010</v>
      </c>
    </row>
    <row r="643" spans="1:11">
      <c r="A643" s="10">
        <v>5017</v>
      </c>
      <c r="B643" s="10">
        <v>3</v>
      </c>
      <c r="C643" s="10">
        <v>80</v>
      </c>
      <c r="D643" s="29">
        <v>1596</v>
      </c>
      <c r="E643" s="29">
        <v>533.74400000000003</v>
      </c>
      <c r="F643" s="30">
        <v>45777</v>
      </c>
      <c r="G643" s="10">
        <v>0</v>
      </c>
      <c r="H643" s="10">
        <v>0</v>
      </c>
      <c r="I643" s="10">
        <v>0</v>
      </c>
      <c r="J643" t="s">
        <v>54</v>
      </c>
      <c r="K643" s="10">
        <v>8011</v>
      </c>
    </row>
    <row r="644" spans="1:11">
      <c r="A644" s="10">
        <v>5027</v>
      </c>
      <c r="B644" s="10">
        <v>2</v>
      </c>
      <c r="C644" s="10">
        <v>56</v>
      </c>
      <c r="D644" s="29">
        <v>1111.5999999999999</v>
      </c>
      <c r="E644" s="29">
        <v>313.19499999999999</v>
      </c>
      <c r="F644" s="30">
        <v>45716</v>
      </c>
      <c r="G644" s="10">
        <v>0</v>
      </c>
      <c r="H644" s="10">
        <v>0</v>
      </c>
      <c r="I644" s="10">
        <v>0</v>
      </c>
      <c r="J644" t="s">
        <v>54</v>
      </c>
      <c r="K644" s="10">
        <v>8014</v>
      </c>
    </row>
    <row r="645" spans="1:11">
      <c r="A645" s="10">
        <v>5012</v>
      </c>
      <c r="B645" s="10">
        <v>2</v>
      </c>
      <c r="C645" s="10">
        <v>81</v>
      </c>
      <c r="D645" s="29">
        <v>548.37</v>
      </c>
      <c r="E645" s="29">
        <v>175.7</v>
      </c>
      <c r="F645" s="30">
        <v>45657</v>
      </c>
      <c r="G645" s="10">
        <v>0</v>
      </c>
      <c r="H645" s="10">
        <v>0</v>
      </c>
      <c r="I645" s="10">
        <v>0</v>
      </c>
      <c r="J645" t="s">
        <v>54</v>
      </c>
      <c r="K645" s="10">
        <v>8012</v>
      </c>
    </row>
    <row r="646" spans="1:11">
      <c r="A646" s="10">
        <v>5005</v>
      </c>
      <c r="B646" s="10">
        <v>3</v>
      </c>
      <c r="C646" s="10">
        <v>234</v>
      </c>
      <c r="D646" s="29">
        <v>5005.26</v>
      </c>
      <c r="E646" s="29">
        <v>840.226</v>
      </c>
      <c r="F646" s="30">
        <v>45991</v>
      </c>
      <c r="G646" s="10">
        <v>0</v>
      </c>
      <c r="H646" s="10">
        <v>0</v>
      </c>
      <c r="I646" s="10">
        <v>0</v>
      </c>
      <c r="J646" t="s">
        <v>54</v>
      </c>
      <c r="K646" s="10">
        <v>8011</v>
      </c>
    </row>
    <row r="647" spans="1:11">
      <c r="A647" s="10">
        <v>5005</v>
      </c>
      <c r="B647" s="10">
        <v>1</v>
      </c>
      <c r="C647" s="10">
        <v>239</v>
      </c>
      <c r="D647" s="29">
        <v>3637.58</v>
      </c>
      <c r="E647" s="29">
        <v>679.36300000000006</v>
      </c>
      <c r="F647" s="30">
        <v>45657</v>
      </c>
      <c r="G647" s="10">
        <v>0</v>
      </c>
      <c r="H647" s="10">
        <v>0</v>
      </c>
      <c r="I647" s="10">
        <v>0</v>
      </c>
      <c r="J647" t="s">
        <v>54</v>
      </c>
      <c r="K647" s="10">
        <v>8006</v>
      </c>
    </row>
    <row r="648" spans="1:11">
      <c r="A648" s="10">
        <v>5015</v>
      </c>
      <c r="B648" s="10">
        <v>3</v>
      </c>
      <c r="C648" s="10">
        <v>207</v>
      </c>
      <c r="D648" s="29">
        <v>2821.41</v>
      </c>
      <c r="E648" s="29">
        <v>754.71299999999997</v>
      </c>
      <c r="F648" s="30">
        <v>45961</v>
      </c>
      <c r="G648" s="10">
        <v>0</v>
      </c>
      <c r="H648" s="10">
        <v>0</v>
      </c>
      <c r="I648" s="10">
        <v>0</v>
      </c>
      <c r="J648" t="s">
        <v>54</v>
      </c>
      <c r="K648" s="10">
        <v>8004</v>
      </c>
    </row>
    <row r="649" spans="1:11">
      <c r="A649" s="10">
        <v>5009</v>
      </c>
      <c r="B649" s="10">
        <v>2</v>
      </c>
      <c r="C649" s="10">
        <v>94</v>
      </c>
      <c r="D649" s="29">
        <v>1867.78</v>
      </c>
      <c r="E649" s="29">
        <v>679.726</v>
      </c>
      <c r="F649" s="30">
        <v>45808</v>
      </c>
      <c r="G649" s="10">
        <v>0</v>
      </c>
      <c r="H649" s="10">
        <v>0</v>
      </c>
      <c r="I649" s="10">
        <v>0</v>
      </c>
      <c r="J649" t="s">
        <v>54</v>
      </c>
      <c r="K649" s="10">
        <v>8027</v>
      </c>
    </row>
    <row r="650" spans="1:11">
      <c r="A650" s="10">
        <v>5015</v>
      </c>
      <c r="B650" s="10">
        <v>1</v>
      </c>
      <c r="C650" s="10">
        <v>201</v>
      </c>
      <c r="D650" s="29">
        <v>709.53</v>
      </c>
      <c r="E650" s="29">
        <v>219.45</v>
      </c>
      <c r="F650" s="30">
        <v>45657</v>
      </c>
      <c r="G650" s="10">
        <v>0</v>
      </c>
      <c r="H650" s="10">
        <v>0</v>
      </c>
      <c r="I650" s="10">
        <v>0</v>
      </c>
      <c r="J650" t="s">
        <v>54</v>
      </c>
      <c r="K650" s="10">
        <v>8008</v>
      </c>
    </row>
    <row r="651" spans="1:11">
      <c r="A651" s="10">
        <v>5010</v>
      </c>
      <c r="B651" s="10">
        <v>2</v>
      </c>
      <c r="C651" s="10">
        <v>218</v>
      </c>
      <c r="D651" s="29">
        <v>1244.78</v>
      </c>
      <c r="E651" s="29">
        <v>221.69300000000001</v>
      </c>
      <c r="F651" s="30">
        <v>45688</v>
      </c>
      <c r="G651" s="10">
        <v>0</v>
      </c>
      <c r="H651" s="10">
        <v>0</v>
      </c>
      <c r="I651" s="10">
        <v>0</v>
      </c>
      <c r="J651" t="s">
        <v>54</v>
      </c>
      <c r="K651" s="10">
        <v>8006</v>
      </c>
    </row>
    <row r="652" spans="1:11">
      <c r="A652" s="10">
        <v>5016</v>
      </c>
      <c r="B652" s="10">
        <v>2</v>
      </c>
      <c r="C652" s="10">
        <v>126</v>
      </c>
      <c r="D652" s="29">
        <v>2073.96</v>
      </c>
      <c r="E652" s="29">
        <v>772.40200000000004</v>
      </c>
      <c r="F652" s="30">
        <v>45412</v>
      </c>
      <c r="G652" s="10">
        <v>0</v>
      </c>
      <c r="H652" s="10">
        <v>0</v>
      </c>
      <c r="I652" s="10">
        <v>0</v>
      </c>
      <c r="J652" t="s">
        <v>54</v>
      </c>
      <c r="K652" s="10">
        <v>8014</v>
      </c>
    </row>
    <row r="653" spans="1:11">
      <c r="A653" s="10">
        <v>5020</v>
      </c>
      <c r="B653" s="10">
        <v>1</v>
      </c>
      <c r="C653" s="10">
        <v>80</v>
      </c>
      <c r="D653" s="29">
        <v>408.8</v>
      </c>
      <c r="E653" s="29">
        <v>106.858</v>
      </c>
      <c r="F653" s="30">
        <v>45991</v>
      </c>
      <c r="G653" s="10">
        <v>0</v>
      </c>
      <c r="H653" s="10">
        <v>0</v>
      </c>
      <c r="I653" s="10">
        <v>0</v>
      </c>
      <c r="J653" t="s">
        <v>54</v>
      </c>
      <c r="K653" s="10">
        <v>8010</v>
      </c>
    </row>
    <row r="654" spans="1:11">
      <c r="A654" s="10">
        <v>5003</v>
      </c>
      <c r="B654" s="10">
        <v>1</v>
      </c>
      <c r="C654" s="10">
        <v>157</v>
      </c>
      <c r="D654" s="29">
        <v>3464.99</v>
      </c>
      <c r="E654" s="29">
        <v>1404.2449999999999</v>
      </c>
      <c r="F654" s="30">
        <v>45777</v>
      </c>
      <c r="G654" s="10">
        <v>0</v>
      </c>
      <c r="H654" s="10">
        <v>0</v>
      </c>
      <c r="I654" s="10">
        <v>0</v>
      </c>
      <c r="J654" t="s">
        <v>54</v>
      </c>
      <c r="K654" s="10">
        <v>8011</v>
      </c>
    </row>
    <row r="655" spans="1:11">
      <c r="A655" s="10">
        <v>5028</v>
      </c>
      <c r="B655" s="10">
        <v>1</v>
      </c>
      <c r="C655" s="10">
        <v>22</v>
      </c>
      <c r="D655" s="29">
        <v>521.4</v>
      </c>
      <c r="E655" s="29">
        <v>100.71599999999999</v>
      </c>
      <c r="F655" s="30">
        <v>45657</v>
      </c>
      <c r="G655" s="10">
        <v>0</v>
      </c>
      <c r="H655" s="10">
        <v>0</v>
      </c>
      <c r="I655" s="10">
        <v>0</v>
      </c>
      <c r="J655" t="s">
        <v>54</v>
      </c>
      <c r="K655" s="10">
        <v>8004</v>
      </c>
    </row>
    <row r="656" spans="1:11">
      <c r="A656" s="10">
        <v>5005</v>
      </c>
      <c r="B656" s="10">
        <v>1</v>
      </c>
      <c r="C656" s="10">
        <v>195</v>
      </c>
      <c r="D656" s="29">
        <v>3903.9</v>
      </c>
      <c r="E656" s="29">
        <v>1498.8030000000001</v>
      </c>
      <c r="F656" s="30">
        <v>45565</v>
      </c>
      <c r="G656" s="10">
        <v>0</v>
      </c>
      <c r="H656" s="10">
        <v>0</v>
      </c>
      <c r="I656" s="10">
        <v>0</v>
      </c>
      <c r="J656" t="s">
        <v>54</v>
      </c>
      <c r="K656" s="10">
        <v>8008</v>
      </c>
    </row>
    <row r="657" spans="1:11">
      <c r="A657" s="10">
        <v>5003</v>
      </c>
      <c r="B657" s="10">
        <v>2</v>
      </c>
      <c r="C657" s="10">
        <v>112</v>
      </c>
      <c r="D657" s="29">
        <v>1153.5999999999999</v>
      </c>
      <c r="E657" s="29">
        <v>348.077</v>
      </c>
      <c r="F657" s="30">
        <v>45991</v>
      </c>
      <c r="G657" s="10">
        <v>0</v>
      </c>
      <c r="H657" s="10">
        <v>0</v>
      </c>
      <c r="I657" s="10">
        <v>0</v>
      </c>
      <c r="J657" t="s">
        <v>54</v>
      </c>
      <c r="K657" s="10">
        <v>8012</v>
      </c>
    </row>
    <row r="658" spans="1:11">
      <c r="A658" s="10">
        <v>5007</v>
      </c>
      <c r="B658" s="10">
        <v>2</v>
      </c>
      <c r="C658" s="10">
        <v>265</v>
      </c>
      <c r="D658" s="29">
        <v>5419.25</v>
      </c>
      <c r="E658" s="29">
        <v>2272.5010000000002</v>
      </c>
      <c r="F658" s="30">
        <v>45838</v>
      </c>
      <c r="G658" s="10">
        <v>0</v>
      </c>
      <c r="H658" s="10">
        <v>0</v>
      </c>
      <c r="I658" s="10">
        <v>0</v>
      </c>
      <c r="J658" t="s">
        <v>54</v>
      </c>
      <c r="K658" s="10">
        <v>8002</v>
      </c>
    </row>
    <row r="659" spans="1:11">
      <c r="A659" s="10">
        <v>5002</v>
      </c>
      <c r="B659" s="10">
        <v>1</v>
      </c>
      <c r="C659" s="10">
        <v>201</v>
      </c>
      <c r="D659" s="29">
        <v>2532.6</v>
      </c>
      <c r="E659" s="29">
        <v>1057.251</v>
      </c>
      <c r="F659" s="30">
        <v>45838</v>
      </c>
      <c r="G659" s="10">
        <v>0</v>
      </c>
      <c r="H659" s="10">
        <v>0</v>
      </c>
      <c r="I659" s="10">
        <v>0</v>
      </c>
      <c r="J659" t="s">
        <v>54</v>
      </c>
      <c r="K659" s="10">
        <v>8001</v>
      </c>
    </row>
    <row r="660" spans="1:11">
      <c r="A660" s="10">
        <v>5011</v>
      </c>
      <c r="B660" s="10">
        <v>2</v>
      </c>
      <c r="C660" s="10">
        <v>206</v>
      </c>
      <c r="D660" s="29">
        <v>3135.32</v>
      </c>
      <c r="E660" s="29">
        <v>648.21900000000005</v>
      </c>
      <c r="F660" s="30">
        <v>45412</v>
      </c>
      <c r="G660" s="10">
        <v>0</v>
      </c>
      <c r="H660" s="10">
        <v>0</v>
      </c>
      <c r="I660" s="10">
        <v>0</v>
      </c>
      <c r="J660" t="s">
        <v>54</v>
      </c>
      <c r="K660" s="10">
        <v>8005</v>
      </c>
    </row>
    <row r="661" spans="1:11">
      <c r="A661" s="10">
        <v>5009</v>
      </c>
      <c r="B661" s="10">
        <v>2</v>
      </c>
      <c r="C661" s="10">
        <v>65</v>
      </c>
      <c r="D661" s="29">
        <v>989.3</v>
      </c>
      <c r="E661" s="29">
        <v>376.101</v>
      </c>
      <c r="F661" s="30">
        <v>45688</v>
      </c>
      <c r="G661" s="10">
        <v>0</v>
      </c>
      <c r="H661" s="10">
        <v>0</v>
      </c>
      <c r="I661" s="10">
        <v>0</v>
      </c>
      <c r="J661" t="s">
        <v>54</v>
      </c>
      <c r="K661" s="10">
        <v>8006</v>
      </c>
    </row>
    <row r="662" spans="1:11">
      <c r="A662" s="10">
        <v>5008</v>
      </c>
      <c r="B662" s="10">
        <v>2</v>
      </c>
      <c r="C662" s="10">
        <v>99</v>
      </c>
      <c r="D662" s="29">
        <v>2328.48</v>
      </c>
      <c r="E662" s="29">
        <v>799.29600000000005</v>
      </c>
      <c r="F662" s="30">
        <v>45535</v>
      </c>
      <c r="G662" s="10">
        <v>0</v>
      </c>
      <c r="H662" s="10">
        <v>0</v>
      </c>
      <c r="I662" s="10">
        <v>0</v>
      </c>
      <c r="J662" t="s">
        <v>54</v>
      </c>
      <c r="K662" s="10">
        <v>8005</v>
      </c>
    </row>
    <row r="663" spans="1:11">
      <c r="A663" s="10">
        <v>5007</v>
      </c>
      <c r="B663" s="10">
        <v>1</v>
      </c>
      <c r="C663" s="10">
        <v>204</v>
      </c>
      <c r="D663" s="29">
        <v>4822.5600000000004</v>
      </c>
      <c r="E663" s="29">
        <v>1748.2080000000001</v>
      </c>
      <c r="F663" s="30">
        <v>45412</v>
      </c>
      <c r="G663" s="10">
        <v>0</v>
      </c>
      <c r="H663" s="10">
        <v>0</v>
      </c>
      <c r="I663" s="10">
        <v>0</v>
      </c>
      <c r="J663" t="s">
        <v>54</v>
      </c>
      <c r="K663" s="10">
        <v>8011</v>
      </c>
    </row>
    <row r="664" spans="1:11">
      <c r="A664" s="10">
        <v>5001</v>
      </c>
      <c r="B664" s="10">
        <v>1</v>
      </c>
      <c r="C664" s="10">
        <v>145</v>
      </c>
      <c r="D664" s="29">
        <v>2649.15</v>
      </c>
      <c r="E664" s="29">
        <v>477.64499999999998</v>
      </c>
      <c r="F664" s="30">
        <v>45657</v>
      </c>
      <c r="G664" s="10">
        <v>0</v>
      </c>
      <c r="H664" s="10">
        <v>0</v>
      </c>
      <c r="I664" s="10">
        <v>0</v>
      </c>
      <c r="J664" t="s">
        <v>54</v>
      </c>
      <c r="K664" s="10">
        <v>8019</v>
      </c>
    </row>
    <row r="665" spans="1:11">
      <c r="A665" s="10">
        <v>5015</v>
      </c>
      <c r="B665" s="10">
        <v>1</v>
      </c>
      <c r="C665" s="10">
        <v>103</v>
      </c>
      <c r="D665" s="29">
        <v>1965.24</v>
      </c>
      <c r="E665" s="29">
        <v>576.39</v>
      </c>
      <c r="F665" s="30">
        <v>45808</v>
      </c>
      <c r="G665" s="10">
        <v>0</v>
      </c>
      <c r="H665" s="10">
        <v>0</v>
      </c>
      <c r="I665" s="10">
        <v>0</v>
      </c>
      <c r="J665" t="s">
        <v>54</v>
      </c>
      <c r="K665" s="10">
        <v>8004</v>
      </c>
    </row>
    <row r="666" spans="1:11">
      <c r="A666" s="10">
        <v>5013</v>
      </c>
      <c r="B666" s="10">
        <v>6</v>
      </c>
      <c r="C666" s="10">
        <v>-151</v>
      </c>
      <c r="D666" s="29">
        <v>-1241.22</v>
      </c>
      <c r="E666" s="29">
        <v>-176.767</v>
      </c>
      <c r="F666" s="30">
        <v>45657</v>
      </c>
      <c r="G666" s="10">
        <v>1</v>
      </c>
      <c r="H666" s="10">
        <v>1</v>
      </c>
      <c r="I666" s="10">
        <v>0</v>
      </c>
      <c r="J666" t="s">
        <v>2</v>
      </c>
      <c r="K666" s="10">
        <v>8005</v>
      </c>
    </row>
    <row r="667" spans="1:11">
      <c r="A667" s="10">
        <v>5009</v>
      </c>
      <c r="B667" s="10">
        <v>2</v>
      </c>
      <c r="C667" s="10">
        <v>62</v>
      </c>
      <c r="D667" s="29">
        <v>182.9</v>
      </c>
      <c r="E667" s="29">
        <v>67.73</v>
      </c>
      <c r="F667" s="30">
        <v>45900</v>
      </c>
      <c r="G667" s="10">
        <v>0</v>
      </c>
      <c r="H667" s="10">
        <v>0</v>
      </c>
      <c r="I667" s="10">
        <v>0</v>
      </c>
      <c r="J667" t="s">
        <v>54</v>
      </c>
      <c r="K667" s="10">
        <v>8001</v>
      </c>
    </row>
    <row r="668" spans="1:11">
      <c r="A668" s="10">
        <v>5004</v>
      </c>
      <c r="B668" s="10">
        <v>2</v>
      </c>
      <c r="C668" s="10">
        <v>230</v>
      </c>
      <c r="D668" s="29">
        <v>1833.1</v>
      </c>
      <c r="E668" s="29">
        <v>427.209</v>
      </c>
      <c r="F668" s="30">
        <v>45808</v>
      </c>
      <c r="G668" s="10">
        <v>0</v>
      </c>
      <c r="H668" s="10">
        <v>0</v>
      </c>
      <c r="I668" s="10">
        <v>0</v>
      </c>
      <c r="J668" t="s">
        <v>54</v>
      </c>
      <c r="K668" s="10">
        <v>8001</v>
      </c>
    </row>
    <row r="669" spans="1:11">
      <c r="A669" s="10">
        <v>5001</v>
      </c>
      <c r="B669" s="10">
        <v>1</v>
      </c>
      <c r="C669" s="10">
        <v>203</v>
      </c>
      <c r="D669" s="29">
        <v>1047.48</v>
      </c>
      <c r="E669" s="29">
        <v>387.608</v>
      </c>
      <c r="F669" s="30">
        <v>45991</v>
      </c>
      <c r="G669" s="10">
        <v>0</v>
      </c>
      <c r="H669" s="10">
        <v>0</v>
      </c>
      <c r="I669" s="10">
        <v>0</v>
      </c>
      <c r="J669" t="s">
        <v>54</v>
      </c>
      <c r="K669" s="10">
        <v>8002</v>
      </c>
    </row>
    <row r="670" spans="1:11">
      <c r="A670" s="10">
        <v>5012</v>
      </c>
      <c r="B670" s="10">
        <v>4</v>
      </c>
      <c r="C670" s="10">
        <v>-196</v>
      </c>
      <c r="D670" s="29">
        <v>-1844.36</v>
      </c>
      <c r="E670" s="29">
        <v>0</v>
      </c>
      <c r="F670" s="30">
        <v>45565</v>
      </c>
      <c r="G670" s="10">
        <v>1</v>
      </c>
      <c r="H670" s="10">
        <v>1</v>
      </c>
      <c r="I670" s="10">
        <v>0</v>
      </c>
      <c r="J670" t="s">
        <v>2</v>
      </c>
      <c r="K670" s="10">
        <v>8007</v>
      </c>
    </row>
    <row r="671" spans="1:11">
      <c r="A671" s="10">
        <v>5002</v>
      </c>
      <c r="B671" s="10">
        <v>6</v>
      </c>
      <c r="C671" s="10">
        <v>163</v>
      </c>
      <c r="D671" s="29">
        <v>1154.04</v>
      </c>
      <c r="E671" s="29">
        <v>375.95100000000002</v>
      </c>
      <c r="F671" s="30">
        <v>45991</v>
      </c>
      <c r="G671" s="10">
        <v>0</v>
      </c>
      <c r="H671" s="10">
        <v>0</v>
      </c>
      <c r="I671" s="10">
        <v>0</v>
      </c>
      <c r="J671" t="s">
        <v>54</v>
      </c>
      <c r="K671" s="10">
        <v>8007</v>
      </c>
    </row>
    <row r="672" spans="1:11">
      <c r="A672" s="10">
        <v>5013</v>
      </c>
      <c r="B672" s="10">
        <v>3</v>
      </c>
      <c r="C672" s="10">
        <v>177</v>
      </c>
      <c r="D672" s="29">
        <v>775.26</v>
      </c>
      <c r="E672" s="29">
        <v>204.416</v>
      </c>
      <c r="F672" s="30">
        <v>45504</v>
      </c>
      <c r="G672" s="10">
        <v>0</v>
      </c>
      <c r="H672" s="10">
        <v>0</v>
      </c>
      <c r="I672" s="10">
        <v>0</v>
      </c>
      <c r="J672" t="s">
        <v>54</v>
      </c>
      <c r="K672" s="10">
        <v>8004</v>
      </c>
    </row>
    <row r="673" spans="1:11">
      <c r="A673" s="10">
        <v>5013</v>
      </c>
      <c r="B673" s="10">
        <v>2</v>
      </c>
      <c r="C673" s="10">
        <v>112</v>
      </c>
      <c r="D673" s="29">
        <v>1955.52</v>
      </c>
      <c r="E673" s="29">
        <v>386.68200000000002</v>
      </c>
      <c r="F673" s="30">
        <v>45596</v>
      </c>
      <c r="G673" s="10">
        <v>0</v>
      </c>
      <c r="H673" s="10">
        <v>0</v>
      </c>
      <c r="I673" s="10">
        <v>0</v>
      </c>
      <c r="J673" t="s">
        <v>54</v>
      </c>
      <c r="K673" s="10">
        <v>8014</v>
      </c>
    </row>
    <row r="674" spans="1:11">
      <c r="A674" s="10">
        <v>5001</v>
      </c>
      <c r="B674" s="10">
        <v>2</v>
      </c>
      <c r="C674" s="10">
        <v>215</v>
      </c>
      <c r="D674" s="29">
        <v>4977.25</v>
      </c>
      <c r="E674" s="29">
        <v>849.44</v>
      </c>
      <c r="F674" s="30">
        <v>45991</v>
      </c>
      <c r="G674" s="10">
        <v>0</v>
      </c>
      <c r="H674" s="10">
        <v>0</v>
      </c>
      <c r="I674" s="10">
        <v>0</v>
      </c>
      <c r="J674" t="s">
        <v>54</v>
      </c>
      <c r="K674" s="10">
        <v>8021</v>
      </c>
    </row>
    <row r="675" spans="1:11">
      <c r="A675" s="10">
        <v>5011</v>
      </c>
      <c r="B675" s="10">
        <v>2</v>
      </c>
      <c r="C675" s="10">
        <v>326</v>
      </c>
      <c r="D675" s="29">
        <v>6800.36</v>
      </c>
      <c r="E675" s="29">
        <v>1560.2940000000001</v>
      </c>
      <c r="F675" s="30">
        <v>45991</v>
      </c>
      <c r="G675" s="10">
        <v>0</v>
      </c>
      <c r="H675" s="10">
        <v>0</v>
      </c>
      <c r="I675" s="10">
        <v>0</v>
      </c>
      <c r="J675" t="s">
        <v>54</v>
      </c>
      <c r="K675" s="10">
        <v>8025</v>
      </c>
    </row>
    <row r="676" spans="1:11">
      <c r="A676" s="10">
        <v>5011</v>
      </c>
      <c r="B676" s="10">
        <v>4</v>
      </c>
      <c r="C676" s="10">
        <v>161</v>
      </c>
      <c r="D676" s="29">
        <v>2914.1</v>
      </c>
      <c r="E676" s="29">
        <v>613.94500000000005</v>
      </c>
      <c r="F676" s="30">
        <v>45412</v>
      </c>
      <c r="G676" s="10">
        <v>0</v>
      </c>
      <c r="H676" s="10">
        <v>0</v>
      </c>
      <c r="I676" s="10">
        <v>0</v>
      </c>
      <c r="J676" t="s">
        <v>54</v>
      </c>
      <c r="K676" s="10">
        <v>8005</v>
      </c>
    </row>
    <row r="677" spans="1:11">
      <c r="A677" s="10">
        <v>5012</v>
      </c>
      <c r="B677" s="10">
        <v>2</v>
      </c>
      <c r="C677" s="10">
        <v>-187</v>
      </c>
      <c r="D677" s="29">
        <v>-3788.62</v>
      </c>
      <c r="E677" s="29">
        <v>0</v>
      </c>
      <c r="F677" s="30">
        <v>45596</v>
      </c>
      <c r="G677" s="10">
        <v>1</v>
      </c>
      <c r="H677" s="10">
        <v>1</v>
      </c>
      <c r="I677" s="10">
        <v>0</v>
      </c>
      <c r="J677" t="s">
        <v>2</v>
      </c>
      <c r="K677" s="10">
        <v>8002</v>
      </c>
    </row>
    <row r="678" spans="1:11">
      <c r="A678" s="10">
        <v>5007</v>
      </c>
      <c r="B678" s="10">
        <v>1</v>
      </c>
      <c r="C678" s="10">
        <v>73</v>
      </c>
      <c r="D678" s="29">
        <v>170.09</v>
      </c>
      <c r="E678" s="29">
        <v>68.718000000000004</v>
      </c>
      <c r="F678" s="30">
        <v>45412</v>
      </c>
      <c r="G678" s="10">
        <v>0</v>
      </c>
      <c r="H678" s="10">
        <v>0</v>
      </c>
      <c r="I678" s="10">
        <v>0</v>
      </c>
      <c r="J678" t="s">
        <v>54</v>
      </c>
      <c r="K678" s="10">
        <v>8003</v>
      </c>
    </row>
    <row r="679" spans="1:11">
      <c r="A679" s="10">
        <v>5017</v>
      </c>
      <c r="B679" s="10">
        <v>3</v>
      </c>
      <c r="C679" s="10">
        <v>164</v>
      </c>
      <c r="D679" s="29">
        <v>731.44</v>
      </c>
      <c r="E679" s="29">
        <v>141.73500000000001</v>
      </c>
      <c r="F679" s="30">
        <v>45838</v>
      </c>
      <c r="G679" s="10">
        <v>0</v>
      </c>
      <c r="H679" s="10">
        <v>0</v>
      </c>
      <c r="I679" s="10">
        <v>0</v>
      </c>
      <c r="J679" t="s">
        <v>54</v>
      </c>
      <c r="K679" s="10">
        <v>8024</v>
      </c>
    </row>
    <row r="680" spans="1:11">
      <c r="A680" s="10">
        <v>5020</v>
      </c>
      <c r="B680" s="10">
        <v>6</v>
      </c>
      <c r="C680" s="10">
        <v>163</v>
      </c>
      <c r="D680" s="29">
        <v>2810.12</v>
      </c>
      <c r="E680" s="29">
        <v>790.79200000000003</v>
      </c>
      <c r="F680" s="30">
        <v>45838</v>
      </c>
      <c r="G680" s="10">
        <v>0</v>
      </c>
      <c r="H680" s="10">
        <v>0</v>
      </c>
      <c r="I680" s="10">
        <v>0</v>
      </c>
      <c r="J680" t="s">
        <v>54</v>
      </c>
      <c r="K680" s="10">
        <v>8008</v>
      </c>
    </row>
    <row r="681" spans="1:11">
      <c r="A681" s="10">
        <v>5011</v>
      </c>
      <c r="B681" s="10">
        <v>1</v>
      </c>
      <c r="C681" s="10">
        <v>152</v>
      </c>
      <c r="D681" s="29">
        <v>3322.72</v>
      </c>
      <c r="E681" s="29">
        <v>811.02599999999995</v>
      </c>
      <c r="F681" s="30">
        <v>45991</v>
      </c>
      <c r="G681" s="10">
        <v>0</v>
      </c>
      <c r="H681" s="10">
        <v>0</v>
      </c>
      <c r="I681" s="10">
        <v>0</v>
      </c>
      <c r="J681" t="s">
        <v>54</v>
      </c>
      <c r="K681" s="10">
        <v>8021</v>
      </c>
    </row>
    <row r="682" spans="1:11">
      <c r="A682" s="10">
        <v>5001</v>
      </c>
      <c r="B682" s="10">
        <v>2</v>
      </c>
      <c r="C682" s="10">
        <v>92</v>
      </c>
      <c r="D682" s="29">
        <v>287.95999999999998</v>
      </c>
      <c r="E682" s="29">
        <v>65.888999999999996</v>
      </c>
      <c r="F682" s="30">
        <v>45473</v>
      </c>
      <c r="G682" s="10">
        <v>0</v>
      </c>
      <c r="H682" s="10">
        <v>0</v>
      </c>
      <c r="I682" s="10">
        <v>0</v>
      </c>
      <c r="J682" t="s">
        <v>54</v>
      </c>
      <c r="K682" s="10">
        <v>8015</v>
      </c>
    </row>
    <row r="683" spans="1:11">
      <c r="A683" s="10">
        <v>5007</v>
      </c>
      <c r="B683" s="10">
        <v>3</v>
      </c>
      <c r="C683" s="10">
        <v>64</v>
      </c>
      <c r="D683" s="29">
        <v>814.08</v>
      </c>
      <c r="E683" s="29">
        <v>292.95800000000003</v>
      </c>
      <c r="F683" s="30">
        <v>45657</v>
      </c>
      <c r="G683" s="10">
        <v>0</v>
      </c>
      <c r="H683" s="10">
        <v>0</v>
      </c>
      <c r="I683" s="10">
        <v>0</v>
      </c>
      <c r="J683" t="s">
        <v>54</v>
      </c>
      <c r="K683" s="10">
        <v>8022</v>
      </c>
    </row>
    <row r="684" spans="1:11">
      <c r="A684" s="10">
        <v>5011</v>
      </c>
      <c r="B684" s="10">
        <v>3</v>
      </c>
      <c r="C684" s="10">
        <v>45</v>
      </c>
      <c r="D684" s="29">
        <v>153.9</v>
      </c>
      <c r="E684" s="29">
        <v>34.651000000000003</v>
      </c>
      <c r="F684" s="30">
        <v>45504</v>
      </c>
      <c r="G684" s="10">
        <v>0</v>
      </c>
      <c r="H684" s="10">
        <v>0</v>
      </c>
      <c r="I684" s="10">
        <v>0</v>
      </c>
      <c r="J684" t="s">
        <v>54</v>
      </c>
      <c r="K684" s="10">
        <v>8020</v>
      </c>
    </row>
    <row r="685" spans="1:11">
      <c r="A685" s="10">
        <v>5019</v>
      </c>
      <c r="B685" s="10">
        <v>3</v>
      </c>
      <c r="C685" s="10">
        <v>270</v>
      </c>
      <c r="D685" s="29">
        <v>4468.5</v>
      </c>
      <c r="E685" s="29">
        <v>1528.2909999999999</v>
      </c>
      <c r="F685" s="30">
        <v>45657</v>
      </c>
      <c r="G685" s="10">
        <v>0</v>
      </c>
      <c r="H685" s="10">
        <v>0</v>
      </c>
      <c r="I685" s="10">
        <v>0</v>
      </c>
      <c r="J685" t="s">
        <v>54</v>
      </c>
      <c r="K685" s="10">
        <v>8002</v>
      </c>
    </row>
    <row r="686" spans="1:11">
      <c r="A686" s="10">
        <v>5009</v>
      </c>
      <c r="B686" s="10">
        <v>5</v>
      </c>
      <c r="C686" s="10">
        <v>117</v>
      </c>
      <c r="D686" s="29">
        <v>1343.16</v>
      </c>
      <c r="E686" s="29">
        <v>487.62599999999998</v>
      </c>
      <c r="F686" s="30">
        <v>45991</v>
      </c>
      <c r="G686" s="10">
        <v>0</v>
      </c>
      <c r="H686" s="10">
        <v>0</v>
      </c>
      <c r="I686" s="10">
        <v>0</v>
      </c>
      <c r="J686" t="s">
        <v>54</v>
      </c>
      <c r="K686" s="10">
        <v>8007</v>
      </c>
    </row>
    <row r="687" spans="1:11">
      <c r="A687" s="10">
        <v>5009</v>
      </c>
      <c r="B687" s="10">
        <v>6</v>
      </c>
      <c r="C687" s="10">
        <v>142</v>
      </c>
      <c r="D687" s="29">
        <v>1775</v>
      </c>
      <c r="E687" s="29">
        <v>715.52200000000005</v>
      </c>
      <c r="F687" s="30">
        <v>45930</v>
      </c>
      <c r="G687" s="10">
        <v>0</v>
      </c>
      <c r="H687" s="10">
        <v>0</v>
      </c>
      <c r="I687" s="10">
        <v>0</v>
      </c>
      <c r="J687" t="s">
        <v>54</v>
      </c>
      <c r="K687" s="10">
        <v>8001</v>
      </c>
    </row>
    <row r="688" spans="1:11">
      <c r="A688" s="10">
        <v>5011</v>
      </c>
      <c r="B688" s="10">
        <v>3</v>
      </c>
      <c r="C688" s="10">
        <v>327</v>
      </c>
      <c r="D688" s="29">
        <v>1245.8699999999999</v>
      </c>
      <c r="E688" s="29">
        <v>510.608</v>
      </c>
      <c r="F688" s="30">
        <v>45626</v>
      </c>
      <c r="G688" s="10">
        <v>0</v>
      </c>
      <c r="H688" s="10">
        <v>0</v>
      </c>
      <c r="I688" s="10">
        <v>0</v>
      </c>
      <c r="J688" t="s">
        <v>54</v>
      </c>
      <c r="K688" s="10">
        <v>8005</v>
      </c>
    </row>
    <row r="689" spans="1:11">
      <c r="A689" s="10">
        <v>5007</v>
      </c>
      <c r="B689" s="10">
        <v>3</v>
      </c>
      <c r="C689" s="10">
        <v>58</v>
      </c>
      <c r="D689" s="29">
        <v>154.86000000000001</v>
      </c>
      <c r="E689" s="29">
        <v>32.468000000000004</v>
      </c>
      <c r="F689" s="30">
        <v>45382</v>
      </c>
      <c r="G689" s="10">
        <v>0</v>
      </c>
      <c r="H689" s="10">
        <v>0</v>
      </c>
      <c r="I689" s="10">
        <v>0</v>
      </c>
      <c r="J689" t="s">
        <v>54</v>
      </c>
      <c r="K689" s="10">
        <v>8014</v>
      </c>
    </row>
    <row r="690" spans="1:11">
      <c r="A690" s="10">
        <v>5019</v>
      </c>
      <c r="B690" s="10">
        <v>2</v>
      </c>
      <c r="C690" s="10">
        <v>46</v>
      </c>
      <c r="D690" s="29">
        <v>729.1</v>
      </c>
      <c r="E690" s="29">
        <v>143.184</v>
      </c>
      <c r="F690" s="30">
        <v>45869</v>
      </c>
      <c r="G690" s="10">
        <v>0</v>
      </c>
      <c r="H690" s="10">
        <v>0</v>
      </c>
      <c r="I690" s="10">
        <v>0</v>
      </c>
      <c r="J690" t="s">
        <v>54</v>
      </c>
      <c r="K690" s="10">
        <v>8010</v>
      </c>
    </row>
    <row r="691" spans="1:11">
      <c r="A691" s="10">
        <v>5012</v>
      </c>
      <c r="B691" s="10">
        <v>2</v>
      </c>
      <c r="C691" s="10">
        <v>40</v>
      </c>
      <c r="D691" s="29">
        <v>552</v>
      </c>
      <c r="E691" s="29">
        <v>164.95099999999999</v>
      </c>
      <c r="F691" s="30">
        <v>45504</v>
      </c>
      <c r="G691" s="10">
        <v>0</v>
      </c>
      <c r="H691" s="10">
        <v>0</v>
      </c>
      <c r="I691" s="10">
        <v>0</v>
      </c>
      <c r="J691" t="s">
        <v>54</v>
      </c>
      <c r="K691" s="10">
        <v>8009</v>
      </c>
    </row>
    <row r="692" spans="1:11">
      <c r="A692" s="10">
        <v>5007</v>
      </c>
      <c r="B692" s="10">
        <v>1</v>
      </c>
      <c r="C692" s="10">
        <v>-46</v>
      </c>
      <c r="D692" s="29">
        <v>-887.34</v>
      </c>
      <c r="E692" s="29">
        <v>0</v>
      </c>
      <c r="F692" s="30">
        <v>45961</v>
      </c>
      <c r="G692" s="10">
        <v>1</v>
      </c>
      <c r="H692" s="10">
        <v>1</v>
      </c>
      <c r="I692" s="10">
        <v>0</v>
      </c>
      <c r="J692" t="s">
        <v>2</v>
      </c>
      <c r="K692" s="10">
        <v>8030</v>
      </c>
    </row>
    <row r="693" spans="1:11">
      <c r="A693" s="10">
        <v>5011</v>
      </c>
      <c r="B693" s="10">
        <v>3</v>
      </c>
      <c r="C693" s="10">
        <v>239</v>
      </c>
      <c r="D693" s="29">
        <v>1221.29</v>
      </c>
      <c r="E693" s="29">
        <v>489.06799999999998</v>
      </c>
      <c r="F693" s="30">
        <v>45961</v>
      </c>
      <c r="G693" s="10">
        <v>0</v>
      </c>
      <c r="H693" s="10">
        <v>0</v>
      </c>
      <c r="I693" s="10">
        <v>0</v>
      </c>
      <c r="J693" t="s">
        <v>54</v>
      </c>
      <c r="K693" s="10">
        <v>8006</v>
      </c>
    </row>
    <row r="694" spans="1:11">
      <c r="A694" s="10">
        <v>5002</v>
      </c>
      <c r="B694" s="10">
        <v>2</v>
      </c>
      <c r="C694" s="10">
        <v>261</v>
      </c>
      <c r="D694" s="29">
        <v>736.02</v>
      </c>
      <c r="E694" s="29">
        <v>142.744</v>
      </c>
      <c r="F694" s="30">
        <v>45351</v>
      </c>
      <c r="G694" s="10">
        <v>0</v>
      </c>
      <c r="H694" s="10">
        <v>0</v>
      </c>
      <c r="I694" s="10">
        <v>0</v>
      </c>
      <c r="J694" t="s">
        <v>54</v>
      </c>
      <c r="K694" s="10">
        <v>8010</v>
      </c>
    </row>
    <row r="695" spans="1:11">
      <c r="A695" s="10">
        <v>5001</v>
      </c>
      <c r="B695" s="10">
        <v>4</v>
      </c>
      <c r="C695" s="10">
        <v>98</v>
      </c>
      <c r="D695" s="29">
        <v>547.82000000000005</v>
      </c>
      <c r="E695" s="29">
        <v>204.13300000000001</v>
      </c>
      <c r="F695" s="30">
        <v>45473</v>
      </c>
      <c r="G695" s="10">
        <v>0</v>
      </c>
      <c r="H695" s="10">
        <v>0</v>
      </c>
      <c r="I695" s="10">
        <v>0</v>
      </c>
      <c r="J695" t="s">
        <v>54</v>
      </c>
      <c r="K695" s="10">
        <v>8004</v>
      </c>
    </row>
    <row r="696" spans="1:11">
      <c r="A696" s="10">
        <v>5008</v>
      </c>
      <c r="B696" s="10">
        <v>1</v>
      </c>
      <c r="C696" s="10">
        <v>231</v>
      </c>
      <c r="D696" s="29">
        <v>2601.06</v>
      </c>
      <c r="E696" s="29">
        <v>1080.403</v>
      </c>
      <c r="F696" s="30">
        <v>45412</v>
      </c>
      <c r="G696" s="10">
        <v>0</v>
      </c>
      <c r="H696" s="10">
        <v>0</v>
      </c>
      <c r="I696" s="10">
        <v>0</v>
      </c>
      <c r="J696" t="s">
        <v>54</v>
      </c>
      <c r="K696" s="10">
        <v>8016</v>
      </c>
    </row>
    <row r="697" spans="1:11">
      <c r="A697" s="10">
        <v>5005</v>
      </c>
      <c r="B697" s="10">
        <v>2</v>
      </c>
      <c r="C697" s="10">
        <v>57</v>
      </c>
      <c r="D697" s="29">
        <v>1161.0899999999999</v>
      </c>
      <c r="E697" s="29">
        <v>416.48200000000003</v>
      </c>
      <c r="F697" s="30">
        <v>45838</v>
      </c>
      <c r="G697" s="10">
        <v>0</v>
      </c>
      <c r="H697" s="10">
        <v>0</v>
      </c>
      <c r="I697" s="10">
        <v>0</v>
      </c>
      <c r="J697" t="s">
        <v>54</v>
      </c>
      <c r="K697" s="10">
        <v>8028</v>
      </c>
    </row>
    <row r="698" spans="1:11">
      <c r="A698" s="10">
        <v>5005</v>
      </c>
      <c r="B698" s="10">
        <v>1</v>
      </c>
      <c r="C698" s="10">
        <v>119</v>
      </c>
      <c r="D698" s="29">
        <v>2053.94</v>
      </c>
      <c r="E698" s="29">
        <v>562.88599999999997</v>
      </c>
      <c r="F698" s="30">
        <v>45777</v>
      </c>
      <c r="G698" s="10">
        <v>0</v>
      </c>
      <c r="H698" s="10">
        <v>0</v>
      </c>
      <c r="I698" s="10">
        <v>0</v>
      </c>
      <c r="J698" t="s">
        <v>54</v>
      </c>
      <c r="K698" s="10">
        <v>8002</v>
      </c>
    </row>
    <row r="699" spans="1:11">
      <c r="A699" s="10">
        <v>5001</v>
      </c>
      <c r="B699" s="10">
        <v>4</v>
      </c>
      <c r="C699" s="10">
        <v>-161</v>
      </c>
      <c r="D699" s="29">
        <v>-3068.66</v>
      </c>
      <c r="E699" s="29">
        <v>0</v>
      </c>
      <c r="F699" s="30">
        <v>45991</v>
      </c>
      <c r="G699" s="10">
        <v>1</v>
      </c>
      <c r="H699" s="10">
        <v>1</v>
      </c>
      <c r="I699" s="10">
        <v>0</v>
      </c>
      <c r="J699" t="s">
        <v>2</v>
      </c>
      <c r="K699" s="10">
        <v>8002</v>
      </c>
    </row>
    <row r="700" spans="1:11">
      <c r="A700" s="10">
        <v>5003</v>
      </c>
      <c r="B700" s="10">
        <v>3</v>
      </c>
      <c r="C700" s="10">
        <v>223</v>
      </c>
      <c r="D700" s="29">
        <v>2461.92</v>
      </c>
      <c r="E700" s="29">
        <v>888.42399999999998</v>
      </c>
      <c r="F700" s="30">
        <v>45322</v>
      </c>
      <c r="G700" s="10">
        <v>0</v>
      </c>
      <c r="H700" s="10">
        <v>0</v>
      </c>
      <c r="I700" s="10">
        <v>0</v>
      </c>
      <c r="J700" t="s">
        <v>54</v>
      </c>
      <c r="K700" s="10">
        <v>8001</v>
      </c>
    </row>
    <row r="701" spans="1:11">
      <c r="A701" s="10">
        <v>5003</v>
      </c>
      <c r="B701" s="10">
        <v>2</v>
      </c>
      <c r="C701" s="10">
        <v>108</v>
      </c>
      <c r="D701" s="29">
        <v>2444.04</v>
      </c>
      <c r="E701" s="29">
        <v>414.95299999999997</v>
      </c>
      <c r="F701" s="30">
        <v>45869</v>
      </c>
      <c r="G701" s="10">
        <v>0</v>
      </c>
      <c r="H701" s="10">
        <v>0</v>
      </c>
      <c r="I701" s="10">
        <v>0</v>
      </c>
      <c r="J701" t="s">
        <v>54</v>
      </c>
      <c r="K701" s="10">
        <v>8010</v>
      </c>
    </row>
    <row r="702" spans="1:11">
      <c r="A702" s="10">
        <v>5008</v>
      </c>
      <c r="B702" s="10">
        <v>3</v>
      </c>
      <c r="C702" s="10">
        <v>-185</v>
      </c>
      <c r="D702" s="29">
        <v>-1761.2</v>
      </c>
      <c r="E702" s="29">
        <v>0</v>
      </c>
      <c r="F702" s="30">
        <v>45473</v>
      </c>
      <c r="G702" s="10">
        <v>1</v>
      </c>
      <c r="H702" s="10">
        <v>1</v>
      </c>
      <c r="I702" s="10">
        <v>0</v>
      </c>
      <c r="J702" t="s">
        <v>2</v>
      </c>
      <c r="K702" s="10">
        <v>8024</v>
      </c>
    </row>
    <row r="703" spans="1:11">
      <c r="A703" s="10">
        <v>5008</v>
      </c>
      <c r="B703" s="10">
        <v>2</v>
      </c>
      <c r="C703" s="10">
        <v>197</v>
      </c>
      <c r="D703" s="29">
        <v>2714.66</v>
      </c>
      <c r="E703" s="29">
        <v>978.05399999999997</v>
      </c>
      <c r="F703" s="30">
        <v>45443</v>
      </c>
      <c r="G703" s="10">
        <v>0</v>
      </c>
      <c r="H703" s="10">
        <v>0</v>
      </c>
      <c r="I703" s="10">
        <v>0</v>
      </c>
      <c r="J703" t="s">
        <v>54</v>
      </c>
      <c r="K703" s="10">
        <v>8001</v>
      </c>
    </row>
    <row r="704" spans="1:11">
      <c r="A704" s="10">
        <v>5004</v>
      </c>
      <c r="B704" s="10">
        <v>4</v>
      </c>
      <c r="C704" s="10">
        <v>145</v>
      </c>
      <c r="D704" s="29">
        <v>3378.5</v>
      </c>
      <c r="E704" s="29">
        <v>695.44500000000005</v>
      </c>
      <c r="F704" s="30">
        <v>45838</v>
      </c>
      <c r="G704" s="10">
        <v>0</v>
      </c>
      <c r="H704" s="10">
        <v>0</v>
      </c>
      <c r="I704" s="10">
        <v>0</v>
      </c>
      <c r="J704" t="s">
        <v>54</v>
      </c>
      <c r="K704" s="10">
        <v>8003</v>
      </c>
    </row>
    <row r="705" spans="1:11">
      <c r="A705" s="10">
        <v>5001</v>
      </c>
      <c r="B705" s="10">
        <v>1</v>
      </c>
      <c r="C705" s="10">
        <v>123</v>
      </c>
      <c r="D705" s="29">
        <v>1134.06</v>
      </c>
      <c r="E705" s="29">
        <v>405.07</v>
      </c>
      <c r="F705" s="30">
        <v>45838</v>
      </c>
      <c r="G705" s="10">
        <v>0</v>
      </c>
      <c r="H705" s="10">
        <v>0</v>
      </c>
      <c r="I705" s="10">
        <v>0</v>
      </c>
      <c r="J705" t="s">
        <v>54</v>
      </c>
      <c r="K705" s="10">
        <v>8010</v>
      </c>
    </row>
    <row r="706" spans="1:11">
      <c r="A706" s="10">
        <v>5013</v>
      </c>
      <c r="B706" s="10">
        <v>1</v>
      </c>
      <c r="C706" s="10">
        <v>223</v>
      </c>
      <c r="D706" s="29">
        <v>2803.11</v>
      </c>
      <c r="E706" s="29">
        <v>1100.8389999999999</v>
      </c>
      <c r="F706" s="30">
        <v>45351</v>
      </c>
      <c r="G706" s="10">
        <v>0</v>
      </c>
      <c r="H706" s="10">
        <v>0</v>
      </c>
      <c r="I706" s="10">
        <v>0</v>
      </c>
      <c r="J706" t="s">
        <v>54</v>
      </c>
      <c r="K706" s="10">
        <v>8021</v>
      </c>
    </row>
    <row r="707" spans="1:11">
      <c r="A707" s="10">
        <v>5010</v>
      </c>
      <c r="B707" s="10">
        <v>1</v>
      </c>
      <c r="C707" s="10">
        <v>187</v>
      </c>
      <c r="D707" s="29">
        <v>1688.61</v>
      </c>
      <c r="E707" s="29">
        <v>413.36200000000002</v>
      </c>
      <c r="F707" s="30">
        <v>45900</v>
      </c>
      <c r="G707" s="10">
        <v>0</v>
      </c>
      <c r="H707" s="10">
        <v>0</v>
      </c>
      <c r="I707" s="10">
        <v>0</v>
      </c>
      <c r="J707" t="s">
        <v>54</v>
      </c>
      <c r="K707" s="10">
        <v>8004</v>
      </c>
    </row>
    <row r="708" spans="1:11">
      <c r="A708" s="10">
        <v>5013</v>
      </c>
      <c r="B708" s="10">
        <v>2</v>
      </c>
      <c r="C708" s="10">
        <v>71</v>
      </c>
      <c r="D708" s="29">
        <v>870.46</v>
      </c>
      <c r="E708" s="29">
        <v>340.80900000000003</v>
      </c>
      <c r="F708" s="30">
        <v>45412</v>
      </c>
      <c r="G708" s="10">
        <v>0</v>
      </c>
      <c r="H708" s="10">
        <v>0</v>
      </c>
      <c r="I708" s="10">
        <v>0</v>
      </c>
      <c r="J708" t="s">
        <v>54</v>
      </c>
      <c r="K708" s="10">
        <v>8018</v>
      </c>
    </row>
    <row r="709" spans="1:11">
      <c r="A709" s="10">
        <v>5021</v>
      </c>
      <c r="B709" s="10">
        <v>2</v>
      </c>
      <c r="C709" s="10">
        <v>56</v>
      </c>
      <c r="D709" s="29">
        <v>995.68</v>
      </c>
      <c r="E709" s="29">
        <v>411.858</v>
      </c>
      <c r="F709" s="30">
        <v>45443</v>
      </c>
      <c r="G709" s="10">
        <v>0</v>
      </c>
      <c r="H709" s="10">
        <v>0</v>
      </c>
      <c r="I709" s="10">
        <v>0</v>
      </c>
      <c r="J709" t="s">
        <v>54</v>
      </c>
      <c r="K709" s="10">
        <v>8006</v>
      </c>
    </row>
    <row r="710" spans="1:11">
      <c r="A710" s="10">
        <v>5002</v>
      </c>
      <c r="B710" s="10">
        <v>1</v>
      </c>
      <c r="C710" s="10">
        <v>62</v>
      </c>
      <c r="D710" s="29">
        <v>1284.02</v>
      </c>
      <c r="E710" s="29">
        <v>262.59800000000001</v>
      </c>
      <c r="F710" s="30">
        <v>45504</v>
      </c>
      <c r="G710" s="10">
        <v>0</v>
      </c>
      <c r="H710" s="10">
        <v>0</v>
      </c>
      <c r="I710" s="10">
        <v>0</v>
      </c>
      <c r="J710" t="s">
        <v>54</v>
      </c>
      <c r="K710" s="10">
        <v>8011</v>
      </c>
    </row>
    <row r="711" spans="1:11">
      <c r="A711" s="10">
        <v>5019</v>
      </c>
      <c r="B711" s="10">
        <v>4</v>
      </c>
      <c r="C711" s="10">
        <v>148</v>
      </c>
      <c r="D711" s="29">
        <v>2276.2399999999998</v>
      </c>
      <c r="E711" s="29">
        <v>938.34699999999998</v>
      </c>
      <c r="F711" s="30">
        <v>45596</v>
      </c>
      <c r="G711" s="10">
        <v>0</v>
      </c>
      <c r="H711" s="10">
        <v>0</v>
      </c>
      <c r="I711" s="10">
        <v>0</v>
      </c>
      <c r="J711" t="s">
        <v>54</v>
      </c>
      <c r="K711" s="10">
        <v>8009</v>
      </c>
    </row>
    <row r="712" spans="1:11">
      <c r="A712" s="10">
        <v>5002</v>
      </c>
      <c r="B712" s="10">
        <v>2</v>
      </c>
      <c r="C712" s="10">
        <v>414</v>
      </c>
      <c r="D712" s="29">
        <v>6181.02</v>
      </c>
      <c r="E712" s="29">
        <v>1437.6089999999999</v>
      </c>
      <c r="F712" s="30">
        <v>45991</v>
      </c>
      <c r="G712" s="10">
        <v>0</v>
      </c>
      <c r="H712" s="10">
        <v>0</v>
      </c>
      <c r="I712" s="10">
        <v>0</v>
      </c>
      <c r="J712" t="s">
        <v>54</v>
      </c>
      <c r="K712" s="10">
        <v>8018</v>
      </c>
    </row>
    <row r="713" spans="1:11">
      <c r="A713" s="10">
        <v>5013</v>
      </c>
      <c r="B713" s="10">
        <v>1</v>
      </c>
      <c r="C713" s="10">
        <v>159</v>
      </c>
      <c r="D713" s="29">
        <v>3434.4</v>
      </c>
      <c r="E713" s="29">
        <v>682.52599999999995</v>
      </c>
      <c r="F713" s="30">
        <v>45900</v>
      </c>
      <c r="G713" s="10">
        <v>0</v>
      </c>
      <c r="H713" s="10">
        <v>0</v>
      </c>
      <c r="I713" s="10">
        <v>0</v>
      </c>
      <c r="J713" t="s">
        <v>54</v>
      </c>
      <c r="K713" s="10">
        <v>8003</v>
      </c>
    </row>
    <row r="714" spans="1:11">
      <c r="A714" s="10">
        <v>5001</v>
      </c>
      <c r="B714" s="10">
        <v>1</v>
      </c>
      <c r="C714" s="10">
        <v>-132</v>
      </c>
      <c r="D714" s="29">
        <v>-2489.52</v>
      </c>
      <c r="E714" s="29">
        <v>0</v>
      </c>
      <c r="F714" s="30">
        <v>45777</v>
      </c>
      <c r="G714" s="10">
        <v>1</v>
      </c>
      <c r="H714" s="10">
        <v>1</v>
      </c>
      <c r="I714" s="10">
        <v>0</v>
      </c>
      <c r="J714" t="s">
        <v>2</v>
      </c>
      <c r="K714" s="10">
        <v>8028</v>
      </c>
    </row>
    <row r="715" spans="1:11">
      <c r="A715" s="10">
        <v>5015</v>
      </c>
      <c r="B715" s="10">
        <v>2</v>
      </c>
      <c r="C715" s="10">
        <v>-83</v>
      </c>
      <c r="D715" s="29">
        <v>-1178.5999999999999</v>
      </c>
      <c r="E715" s="29">
        <v>-203.297</v>
      </c>
      <c r="F715" s="30">
        <v>45657</v>
      </c>
      <c r="G715" s="10">
        <v>1</v>
      </c>
      <c r="H715" s="10">
        <v>1</v>
      </c>
      <c r="I715" s="10">
        <v>0</v>
      </c>
      <c r="J715" t="s">
        <v>2</v>
      </c>
      <c r="K715" s="10">
        <v>8016</v>
      </c>
    </row>
    <row r="716" spans="1:11">
      <c r="A716" s="10">
        <v>5004</v>
      </c>
      <c r="B716" s="10">
        <v>1</v>
      </c>
      <c r="C716" s="10">
        <v>134</v>
      </c>
      <c r="D716" s="29">
        <v>1148.3800000000001</v>
      </c>
      <c r="E716" s="29">
        <v>439.89800000000002</v>
      </c>
      <c r="F716" s="30">
        <v>45443</v>
      </c>
      <c r="G716" s="10">
        <v>0</v>
      </c>
      <c r="H716" s="10">
        <v>0</v>
      </c>
      <c r="I716" s="10">
        <v>0</v>
      </c>
      <c r="J716" t="s">
        <v>54</v>
      </c>
      <c r="K716" s="10">
        <v>8010</v>
      </c>
    </row>
    <row r="717" spans="1:11">
      <c r="A717" s="10">
        <v>5001</v>
      </c>
      <c r="B717" s="10">
        <v>4</v>
      </c>
      <c r="C717" s="10">
        <v>200</v>
      </c>
      <c r="D717" s="29">
        <v>2160</v>
      </c>
      <c r="E717" s="29">
        <v>553.62800000000004</v>
      </c>
      <c r="F717" s="30">
        <v>45900</v>
      </c>
      <c r="G717" s="10">
        <v>0</v>
      </c>
      <c r="H717" s="10">
        <v>0</v>
      </c>
      <c r="I717" s="10">
        <v>0</v>
      </c>
      <c r="J717" t="s">
        <v>54</v>
      </c>
      <c r="K717" s="10">
        <v>8006</v>
      </c>
    </row>
    <row r="718" spans="1:11">
      <c r="A718" s="10">
        <v>5010</v>
      </c>
      <c r="B718" s="10">
        <v>1</v>
      </c>
      <c r="C718" s="10">
        <v>-298</v>
      </c>
      <c r="D718" s="29">
        <v>-2738.62</v>
      </c>
      <c r="E718" s="29">
        <v>0</v>
      </c>
      <c r="F718" s="30">
        <v>45657</v>
      </c>
      <c r="G718" s="10">
        <v>1</v>
      </c>
      <c r="H718" s="10">
        <v>1</v>
      </c>
      <c r="I718" s="10">
        <v>0</v>
      </c>
      <c r="J718" t="s">
        <v>2</v>
      </c>
      <c r="K718" s="10">
        <v>8018</v>
      </c>
    </row>
    <row r="719" spans="1:11">
      <c r="A719" s="10">
        <v>5024</v>
      </c>
      <c r="B719" s="10">
        <v>4</v>
      </c>
      <c r="C719" s="10">
        <v>172</v>
      </c>
      <c r="D719" s="29">
        <v>619.20000000000005</v>
      </c>
      <c r="E719" s="29">
        <v>217.524</v>
      </c>
      <c r="F719" s="30">
        <v>45565</v>
      </c>
      <c r="G719" s="10">
        <v>0</v>
      </c>
      <c r="H719" s="10">
        <v>0</v>
      </c>
      <c r="I719" s="10">
        <v>0</v>
      </c>
      <c r="J719" t="s">
        <v>54</v>
      </c>
      <c r="K719" s="10">
        <v>8008</v>
      </c>
    </row>
    <row r="720" spans="1:11">
      <c r="A720" s="10">
        <v>5024</v>
      </c>
      <c r="B720" s="10">
        <v>5</v>
      </c>
      <c r="C720" s="10">
        <v>38</v>
      </c>
      <c r="D720" s="29">
        <v>376.96</v>
      </c>
      <c r="E720" s="29">
        <v>96.143000000000001</v>
      </c>
      <c r="F720" s="30">
        <v>45382</v>
      </c>
      <c r="G720" s="10">
        <v>0</v>
      </c>
      <c r="H720" s="10">
        <v>0</v>
      </c>
      <c r="I720" s="10">
        <v>0</v>
      </c>
      <c r="J720" t="s">
        <v>54</v>
      </c>
      <c r="K720" s="10">
        <v>8010</v>
      </c>
    </row>
    <row r="721" spans="1:11">
      <c r="A721" s="10">
        <v>5009</v>
      </c>
      <c r="B721" s="10">
        <v>3</v>
      </c>
      <c r="C721" s="10">
        <v>62</v>
      </c>
      <c r="D721" s="29">
        <v>1461.96</v>
      </c>
      <c r="E721" s="29">
        <v>277.07799999999997</v>
      </c>
      <c r="F721" s="30">
        <v>45473</v>
      </c>
      <c r="G721" s="10">
        <v>0</v>
      </c>
      <c r="H721" s="10">
        <v>0</v>
      </c>
      <c r="I721" s="10">
        <v>0</v>
      </c>
      <c r="J721" t="s">
        <v>54</v>
      </c>
      <c r="K721" s="10">
        <v>8001</v>
      </c>
    </row>
    <row r="722" spans="1:11">
      <c r="A722" s="10">
        <v>5023</v>
      </c>
      <c r="B722" s="10">
        <v>6</v>
      </c>
      <c r="C722" s="10">
        <v>50</v>
      </c>
      <c r="D722" s="29">
        <v>917</v>
      </c>
      <c r="E722" s="29">
        <v>230.81399999999999</v>
      </c>
      <c r="F722" s="30">
        <v>45657</v>
      </c>
      <c r="G722" s="10">
        <v>0</v>
      </c>
      <c r="H722" s="10">
        <v>0</v>
      </c>
      <c r="I722" s="10">
        <v>0</v>
      </c>
      <c r="J722" t="s">
        <v>54</v>
      </c>
      <c r="K722" s="10">
        <v>8008</v>
      </c>
    </row>
    <row r="723" spans="1:11">
      <c r="A723" s="10">
        <v>5011</v>
      </c>
      <c r="B723" s="10">
        <v>1</v>
      </c>
      <c r="C723" s="10">
        <v>103</v>
      </c>
      <c r="D723" s="29">
        <v>1296.77</v>
      </c>
      <c r="E723" s="29">
        <v>248.85599999999999</v>
      </c>
      <c r="F723" s="30">
        <v>45565</v>
      </c>
      <c r="G723" s="10">
        <v>0</v>
      </c>
      <c r="H723" s="10">
        <v>0</v>
      </c>
      <c r="I723" s="10">
        <v>0</v>
      </c>
      <c r="J723" t="s">
        <v>54</v>
      </c>
      <c r="K723" s="10">
        <v>8003</v>
      </c>
    </row>
    <row r="724" spans="1:11">
      <c r="A724" s="10">
        <v>5011</v>
      </c>
      <c r="B724" s="10">
        <v>1</v>
      </c>
      <c r="C724" s="10">
        <v>171</v>
      </c>
      <c r="D724" s="29">
        <v>3344.76</v>
      </c>
      <c r="E724" s="29">
        <v>1238.521</v>
      </c>
      <c r="F724" s="30">
        <v>45869</v>
      </c>
      <c r="G724" s="10">
        <v>0</v>
      </c>
      <c r="H724" s="10">
        <v>0</v>
      </c>
      <c r="I724" s="10">
        <v>0</v>
      </c>
      <c r="J724" t="s">
        <v>54</v>
      </c>
      <c r="K724" s="10">
        <v>8008</v>
      </c>
    </row>
    <row r="725" spans="1:11">
      <c r="A725" s="10">
        <v>5001</v>
      </c>
      <c r="B725" s="10">
        <v>2</v>
      </c>
      <c r="C725" s="10">
        <v>56</v>
      </c>
      <c r="D725" s="29">
        <v>1216.8800000000001</v>
      </c>
      <c r="E725" s="29">
        <v>497.36700000000002</v>
      </c>
      <c r="F725" s="30">
        <v>45991</v>
      </c>
      <c r="G725" s="10">
        <v>0</v>
      </c>
      <c r="H725" s="10">
        <v>0</v>
      </c>
      <c r="I725" s="10">
        <v>0</v>
      </c>
      <c r="J725" t="s">
        <v>54</v>
      </c>
      <c r="K725" s="10">
        <v>8019</v>
      </c>
    </row>
    <row r="726" spans="1:11">
      <c r="A726" s="10">
        <v>5004</v>
      </c>
      <c r="B726" s="10">
        <v>2</v>
      </c>
      <c r="C726" s="10">
        <v>240</v>
      </c>
      <c r="D726" s="29">
        <v>3206.4</v>
      </c>
      <c r="E726" s="29">
        <v>757.42899999999997</v>
      </c>
      <c r="F726" s="30">
        <v>45412</v>
      </c>
      <c r="G726" s="10">
        <v>0</v>
      </c>
      <c r="H726" s="10">
        <v>0</v>
      </c>
      <c r="I726" s="10">
        <v>0</v>
      </c>
      <c r="J726" t="s">
        <v>54</v>
      </c>
      <c r="K726" s="10">
        <v>8011</v>
      </c>
    </row>
    <row r="727" spans="1:11">
      <c r="A727" s="10">
        <v>5009</v>
      </c>
      <c r="B727" s="10">
        <v>2</v>
      </c>
      <c r="C727" s="10">
        <v>126</v>
      </c>
      <c r="D727" s="29">
        <v>2029.86</v>
      </c>
      <c r="E727" s="29">
        <v>358</v>
      </c>
      <c r="F727" s="30">
        <v>46022</v>
      </c>
      <c r="G727" s="10">
        <v>0</v>
      </c>
      <c r="H727" s="10">
        <v>0</v>
      </c>
      <c r="I727" s="10">
        <v>0</v>
      </c>
      <c r="J727" t="s">
        <v>54</v>
      </c>
      <c r="K727" s="10">
        <v>8002</v>
      </c>
    </row>
    <row r="728" spans="1:11">
      <c r="A728" s="10">
        <v>5003</v>
      </c>
      <c r="B728" s="10">
        <v>3</v>
      </c>
      <c r="C728" s="10">
        <v>123</v>
      </c>
      <c r="D728" s="29">
        <v>1157.43</v>
      </c>
      <c r="E728" s="29">
        <v>283.38499999999999</v>
      </c>
      <c r="F728" s="30">
        <v>45991</v>
      </c>
      <c r="G728" s="10">
        <v>0</v>
      </c>
      <c r="H728" s="10">
        <v>0</v>
      </c>
      <c r="I728" s="10">
        <v>0</v>
      </c>
      <c r="J728" t="s">
        <v>54</v>
      </c>
      <c r="K728" s="10">
        <v>8024</v>
      </c>
    </row>
    <row r="729" spans="1:11">
      <c r="A729" s="10">
        <v>5012</v>
      </c>
      <c r="B729" s="10">
        <v>2</v>
      </c>
      <c r="C729" s="10">
        <v>87</v>
      </c>
      <c r="D729" s="29">
        <v>411.51</v>
      </c>
      <c r="E729" s="29">
        <v>84.215999999999994</v>
      </c>
      <c r="F729" s="30">
        <v>45777</v>
      </c>
      <c r="G729" s="10">
        <v>0</v>
      </c>
      <c r="H729" s="10">
        <v>0</v>
      </c>
      <c r="I729" s="10">
        <v>0</v>
      </c>
      <c r="J729" t="s">
        <v>54</v>
      </c>
      <c r="K729" s="10">
        <v>8017</v>
      </c>
    </row>
    <row r="730" spans="1:11">
      <c r="A730" s="10">
        <v>5007</v>
      </c>
      <c r="B730" s="10">
        <v>4</v>
      </c>
      <c r="C730" s="10">
        <v>30</v>
      </c>
      <c r="D730" s="29">
        <v>289.2</v>
      </c>
      <c r="E730" s="29">
        <v>58.780999999999999</v>
      </c>
      <c r="F730" s="30">
        <v>45565</v>
      </c>
      <c r="G730" s="10">
        <v>0</v>
      </c>
      <c r="H730" s="10">
        <v>0</v>
      </c>
      <c r="I730" s="10">
        <v>0</v>
      </c>
      <c r="J730" t="s">
        <v>54</v>
      </c>
      <c r="K730" s="10">
        <v>8027</v>
      </c>
    </row>
    <row r="731" spans="1:11">
      <c r="A731" s="10">
        <v>5012</v>
      </c>
      <c r="B731" s="10">
        <v>6</v>
      </c>
      <c r="C731" s="10">
        <v>184</v>
      </c>
      <c r="D731" s="29">
        <v>3161.12</v>
      </c>
      <c r="E731" s="29">
        <v>631.92700000000002</v>
      </c>
      <c r="F731" s="30">
        <v>45991</v>
      </c>
      <c r="G731" s="10">
        <v>0</v>
      </c>
      <c r="H731" s="10">
        <v>0</v>
      </c>
      <c r="I731" s="10">
        <v>0</v>
      </c>
      <c r="J731" t="s">
        <v>54</v>
      </c>
      <c r="K731" s="10">
        <v>8003</v>
      </c>
    </row>
    <row r="732" spans="1:11">
      <c r="A732" s="10">
        <v>5001</v>
      </c>
      <c r="B732" s="10">
        <v>1</v>
      </c>
      <c r="C732" s="10">
        <v>86</v>
      </c>
      <c r="D732" s="29">
        <v>507.4</v>
      </c>
      <c r="E732" s="29">
        <v>85.76</v>
      </c>
      <c r="F732" s="30">
        <v>45535</v>
      </c>
      <c r="G732" s="10">
        <v>0</v>
      </c>
      <c r="H732" s="10">
        <v>0</v>
      </c>
      <c r="I732" s="10">
        <v>0</v>
      </c>
      <c r="J732" t="s">
        <v>54</v>
      </c>
      <c r="K732" s="10">
        <v>8004</v>
      </c>
    </row>
    <row r="733" spans="1:11">
      <c r="A733" s="10">
        <v>5005</v>
      </c>
      <c r="B733" s="10">
        <v>2</v>
      </c>
      <c r="C733" s="10">
        <v>67</v>
      </c>
      <c r="D733" s="29">
        <v>568.83000000000004</v>
      </c>
      <c r="E733" s="29">
        <v>150.846</v>
      </c>
      <c r="F733" s="30">
        <v>45596</v>
      </c>
      <c r="G733" s="10">
        <v>0</v>
      </c>
      <c r="H733" s="10">
        <v>0</v>
      </c>
      <c r="I733" s="10">
        <v>0</v>
      </c>
      <c r="J733" t="s">
        <v>54</v>
      </c>
      <c r="K733" s="10">
        <v>8004</v>
      </c>
    </row>
    <row r="734" spans="1:11">
      <c r="A734" s="10">
        <v>5002</v>
      </c>
      <c r="B734" s="10">
        <v>1</v>
      </c>
      <c r="C734" s="10">
        <v>16</v>
      </c>
      <c r="D734" s="29">
        <v>291.04000000000002</v>
      </c>
      <c r="E734" s="29">
        <v>71.635000000000005</v>
      </c>
      <c r="F734" s="30">
        <v>45688</v>
      </c>
      <c r="G734" s="10">
        <v>0</v>
      </c>
      <c r="H734" s="10">
        <v>0</v>
      </c>
      <c r="I734" s="10">
        <v>0</v>
      </c>
      <c r="J734" t="s">
        <v>54</v>
      </c>
      <c r="K734" s="10">
        <v>8006</v>
      </c>
    </row>
    <row r="735" spans="1:11">
      <c r="A735" s="10">
        <v>5007</v>
      </c>
      <c r="B735" s="10">
        <v>6</v>
      </c>
      <c r="C735" s="10">
        <v>201</v>
      </c>
      <c r="D735" s="29">
        <v>2922.54</v>
      </c>
      <c r="E735" s="29">
        <v>897.10299999999995</v>
      </c>
      <c r="F735" s="30">
        <v>45869</v>
      </c>
      <c r="G735" s="10">
        <v>0</v>
      </c>
      <c r="H735" s="10">
        <v>0</v>
      </c>
      <c r="I735" s="10">
        <v>0</v>
      </c>
      <c r="J735" t="s">
        <v>54</v>
      </c>
      <c r="K735" s="10">
        <v>8003</v>
      </c>
    </row>
    <row r="736" spans="1:11">
      <c r="A736" s="10">
        <v>5006</v>
      </c>
      <c r="B736" s="10">
        <v>3</v>
      </c>
      <c r="C736" s="10">
        <v>286</v>
      </c>
      <c r="D736" s="29">
        <v>1401.4</v>
      </c>
      <c r="E736" s="29">
        <v>336.47800000000001</v>
      </c>
      <c r="F736" s="30">
        <v>45991</v>
      </c>
      <c r="G736" s="10">
        <v>0</v>
      </c>
      <c r="H736" s="10">
        <v>0</v>
      </c>
      <c r="I736" s="10">
        <v>0</v>
      </c>
      <c r="J736" t="s">
        <v>54</v>
      </c>
      <c r="K736" s="10">
        <v>8011</v>
      </c>
    </row>
    <row r="737" spans="1:11">
      <c r="A737" s="10">
        <v>5017</v>
      </c>
      <c r="B737" s="10">
        <v>1</v>
      </c>
      <c r="C737" s="10">
        <v>52</v>
      </c>
      <c r="D737" s="29">
        <v>834.08</v>
      </c>
      <c r="E737" s="29">
        <v>181.62700000000001</v>
      </c>
      <c r="F737" s="30">
        <v>45626</v>
      </c>
      <c r="G737" s="10">
        <v>0</v>
      </c>
      <c r="H737" s="10">
        <v>0</v>
      </c>
      <c r="I737" s="10">
        <v>0</v>
      </c>
      <c r="J737" t="s">
        <v>54</v>
      </c>
      <c r="K737" s="10">
        <v>8006</v>
      </c>
    </row>
    <row r="738" spans="1:11">
      <c r="A738" s="10">
        <v>5004</v>
      </c>
      <c r="B738" s="10">
        <v>2</v>
      </c>
      <c r="C738" s="10">
        <v>-144</v>
      </c>
      <c r="D738" s="29">
        <v>-2406.2399999999998</v>
      </c>
      <c r="E738" s="29">
        <v>0</v>
      </c>
      <c r="F738" s="30">
        <v>45991</v>
      </c>
      <c r="G738" s="10">
        <v>1</v>
      </c>
      <c r="H738" s="10">
        <v>1</v>
      </c>
      <c r="I738" s="10">
        <v>0</v>
      </c>
      <c r="J738" t="s">
        <v>2</v>
      </c>
      <c r="K738" s="10">
        <v>8001</v>
      </c>
    </row>
    <row r="739" spans="1:11">
      <c r="A739" s="10">
        <v>5005</v>
      </c>
      <c r="B739" s="10">
        <v>6</v>
      </c>
      <c r="C739" s="10">
        <v>167</v>
      </c>
      <c r="D739" s="29">
        <v>1639.94</v>
      </c>
      <c r="E739" s="29">
        <v>626.43899999999996</v>
      </c>
      <c r="F739" s="30">
        <v>45504</v>
      </c>
      <c r="G739" s="10">
        <v>0</v>
      </c>
      <c r="H739" s="10">
        <v>0</v>
      </c>
      <c r="I739" s="10">
        <v>0</v>
      </c>
      <c r="J739" t="s">
        <v>54</v>
      </c>
      <c r="K739" s="10">
        <v>8009</v>
      </c>
    </row>
    <row r="740" spans="1:11">
      <c r="A740" s="10">
        <v>5005</v>
      </c>
      <c r="B740" s="10">
        <v>2</v>
      </c>
      <c r="C740" s="10">
        <v>-380</v>
      </c>
      <c r="D740" s="29">
        <v>-8059.8</v>
      </c>
      <c r="E740" s="29">
        <v>-778.84299999999996</v>
      </c>
      <c r="F740" s="30">
        <v>45626</v>
      </c>
      <c r="G740" s="10">
        <v>1</v>
      </c>
      <c r="H740" s="10">
        <v>1</v>
      </c>
      <c r="I740" s="10">
        <v>0</v>
      </c>
      <c r="J740" t="s">
        <v>2</v>
      </c>
      <c r="K740" s="10">
        <v>8003</v>
      </c>
    </row>
    <row r="741" spans="1:11">
      <c r="A741" s="10">
        <v>5016</v>
      </c>
      <c r="B741" s="10">
        <v>4</v>
      </c>
      <c r="C741" s="10">
        <v>274</v>
      </c>
      <c r="D741" s="29">
        <v>3071.54</v>
      </c>
      <c r="E741" s="29">
        <v>602.90499999999997</v>
      </c>
      <c r="F741" s="30">
        <v>46022</v>
      </c>
      <c r="G741" s="10">
        <v>0</v>
      </c>
      <c r="H741" s="10">
        <v>0</v>
      </c>
      <c r="I741" s="10">
        <v>0</v>
      </c>
      <c r="J741" t="s">
        <v>54</v>
      </c>
      <c r="K741" s="10">
        <v>8003</v>
      </c>
    </row>
    <row r="742" spans="1:11">
      <c r="A742" s="10">
        <v>5002</v>
      </c>
      <c r="B742" s="10">
        <v>2</v>
      </c>
      <c r="C742" s="10">
        <v>-236</v>
      </c>
      <c r="D742" s="29">
        <v>-5593.2</v>
      </c>
      <c r="E742" s="29">
        <v>-802.16099999999994</v>
      </c>
      <c r="F742" s="30">
        <v>45777</v>
      </c>
      <c r="G742" s="10">
        <v>1</v>
      </c>
      <c r="H742" s="10">
        <v>1</v>
      </c>
      <c r="I742" s="10">
        <v>0</v>
      </c>
      <c r="J742" t="s">
        <v>2</v>
      </c>
      <c r="K742" s="10">
        <v>8003</v>
      </c>
    </row>
    <row r="743" spans="1:11">
      <c r="A743" s="10">
        <v>5006</v>
      </c>
      <c r="B743" s="10">
        <v>2</v>
      </c>
      <c r="C743" s="10">
        <v>140</v>
      </c>
      <c r="D743" s="29">
        <v>2459.8000000000002</v>
      </c>
      <c r="E743" s="29">
        <v>481.13900000000001</v>
      </c>
      <c r="F743" s="30">
        <v>45412</v>
      </c>
      <c r="G743" s="10">
        <v>0</v>
      </c>
      <c r="H743" s="10">
        <v>0</v>
      </c>
      <c r="I743" s="10">
        <v>0</v>
      </c>
      <c r="J743" t="s">
        <v>54</v>
      </c>
      <c r="K743" s="10">
        <v>8020</v>
      </c>
    </row>
    <row r="744" spans="1:11">
      <c r="A744" s="10">
        <v>5005</v>
      </c>
      <c r="B744" s="10">
        <v>1</v>
      </c>
      <c r="C744" s="10">
        <v>239</v>
      </c>
      <c r="D744" s="29">
        <v>4858.87</v>
      </c>
      <c r="E744" s="29">
        <v>1483.962</v>
      </c>
      <c r="F744" s="30">
        <v>45473</v>
      </c>
      <c r="G744" s="10">
        <v>0</v>
      </c>
      <c r="H744" s="10">
        <v>0</v>
      </c>
      <c r="I744" s="10">
        <v>0</v>
      </c>
      <c r="J744" t="s">
        <v>54</v>
      </c>
      <c r="K744" s="10">
        <v>8008</v>
      </c>
    </row>
    <row r="745" spans="1:11">
      <c r="A745" s="10">
        <v>5001</v>
      </c>
      <c r="B745" s="10">
        <v>1</v>
      </c>
      <c r="C745" s="10">
        <v>342</v>
      </c>
      <c r="D745" s="29">
        <v>6949.44</v>
      </c>
      <c r="E745" s="29">
        <v>2293.2550000000001</v>
      </c>
      <c r="F745" s="30">
        <v>45657</v>
      </c>
      <c r="G745" s="10">
        <v>0</v>
      </c>
      <c r="H745" s="10">
        <v>0</v>
      </c>
      <c r="I745" s="10">
        <v>0</v>
      </c>
      <c r="J745" t="s">
        <v>54</v>
      </c>
      <c r="K745" s="10">
        <v>8001</v>
      </c>
    </row>
    <row r="746" spans="1:11">
      <c r="A746" s="10">
        <v>5006</v>
      </c>
      <c r="B746" s="10">
        <v>3</v>
      </c>
      <c r="C746" s="10">
        <v>86</v>
      </c>
      <c r="D746" s="29">
        <v>382.7</v>
      </c>
      <c r="E746" s="29">
        <v>160.16999999999999</v>
      </c>
      <c r="F746" s="30">
        <v>45991</v>
      </c>
      <c r="G746" s="10">
        <v>0</v>
      </c>
      <c r="H746" s="10">
        <v>0</v>
      </c>
      <c r="I746" s="10">
        <v>0</v>
      </c>
      <c r="J746" t="s">
        <v>54</v>
      </c>
      <c r="K746" s="10">
        <v>8007</v>
      </c>
    </row>
    <row r="747" spans="1:11">
      <c r="A747" s="10">
        <v>5013</v>
      </c>
      <c r="B747" s="10">
        <v>2</v>
      </c>
      <c r="C747" s="10">
        <v>237</v>
      </c>
      <c r="D747" s="29">
        <v>3730.38</v>
      </c>
      <c r="E747" s="29">
        <v>1270.2080000000001</v>
      </c>
      <c r="F747" s="30">
        <v>45382</v>
      </c>
      <c r="G747" s="10">
        <v>0</v>
      </c>
      <c r="H747" s="10">
        <v>0</v>
      </c>
      <c r="I747" s="10">
        <v>0</v>
      </c>
      <c r="J747" t="s">
        <v>54</v>
      </c>
      <c r="K747" s="10">
        <v>8009</v>
      </c>
    </row>
    <row r="748" spans="1:11">
      <c r="A748" s="10">
        <v>5008</v>
      </c>
      <c r="B748" s="10">
        <v>4</v>
      </c>
      <c r="C748" s="10">
        <v>51</v>
      </c>
      <c r="D748" s="29">
        <v>158.1</v>
      </c>
      <c r="E748" s="29">
        <v>61.4</v>
      </c>
      <c r="F748" s="30">
        <v>45443</v>
      </c>
      <c r="G748" s="10">
        <v>0</v>
      </c>
      <c r="H748" s="10">
        <v>0</v>
      </c>
      <c r="I748" s="10">
        <v>0</v>
      </c>
      <c r="J748" t="s">
        <v>54</v>
      </c>
      <c r="K748" s="10">
        <v>8008</v>
      </c>
    </row>
    <row r="749" spans="1:11">
      <c r="A749" s="10">
        <v>5003</v>
      </c>
      <c r="B749" s="10">
        <v>2</v>
      </c>
      <c r="C749" s="10">
        <v>258</v>
      </c>
      <c r="D749" s="29">
        <v>2502.6</v>
      </c>
      <c r="E749" s="29">
        <v>745.02200000000005</v>
      </c>
      <c r="F749" s="30">
        <v>45443</v>
      </c>
      <c r="G749" s="10">
        <v>0</v>
      </c>
      <c r="H749" s="10">
        <v>0</v>
      </c>
      <c r="I749" s="10">
        <v>0</v>
      </c>
      <c r="J749" t="s">
        <v>54</v>
      </c>
      <c r="K749" s="10">
        <v>8003</v>
      </c>
    </row>
    <row r="750" spans="1:11">
      <c r="A750" s="10">
        <v>5008</v>
      </c>
      <c r="B750" s="10">
        <v>1</v>
      </c>
      <c r="C750" s="10">
        <v>65</v>
      </c>
      <c r="D750" s="29">
        <v>1203.1500000000001</v>
      </c>
      <c r="E750" s="29">
        <v>465.42099999999999</v>
      </c>
      <c r="F750" s="30">
        <v>45991</v>
      </c>
      <c r="G750" s="10">
        <v>0</v>
      </c>
      <c r="H750" s="10">
        <v>0</v>
      </c>
      <c r="I750" s="10">
        <v>0</v>
      </c>
      <c r="J750" t="s">
        <v>54</v>
      </c>
      <c r="K750" s="10">
        <v>8014</v>
      </c>
    </row>
    <row r="751" spans="1:11">
      <c r="A751" s="10">
        <v>5012</v>
      </c>
      <c r="B751" s="10">
        <v>3</v>
      </c>
      <c r="C751" s="10">
        <v>175</v>
      </c>
      <c r="D751" s="29">
        <v>687.75</v>
      </c>
      <c r="E751" s="29">
        <v>257.26100000000002</v>
      </c>
      <c r="F751" s="30">
        <v>45961</v>
      </c>
      <c r="G751" s="10">
        <v>0</v>
      </c>
      <c r="H751" s="10">
        <v>0</v>
      </c>
      <c r="I751" s="10">
        <v>0</v>
      </c>
      <c r="J751" t="s">
        <v>54</v>
      </c>
      <c r="K751" s="10">
        <v>8004</v>
      </c>
    </row>
    <row r="752" spans="1:11">
      <c r="A752" s="10">
        <v>5008</v>
      </c>
      <c r="B752" s="10">
        <v>2</v>
      </c>
      <c r="C752" s="10">
        <v>94</v>
      </c>
      <c r="D752" s="29">
        <v>2069.88</v>
      </c>
      <c r="E752" s="29">
        <v>414.35700000000003</v>
      </c>
      <c r="F752" s="30">
        <v>45322</v>
      </c>
      <c r="G752" s="10">
        <v>0</v>
      </c>
      <c r="H752" s="10">
        <v>0</v>
      </c>
      <c r="I752" s="10">
        <v>0</v>
      </c>
      <c r="J752" t="s">
        <v>54</v>
      </c>
      <c r="K752" s="10">
        <v>8004</v>
      </c>
    </row>
    <row r="753" spans="1:11">
      <c r="A753" s="10">
        <v>5003</v>
      </c>
      <c r="B753" s="10">
        <v>3</v>
      </c>
      <c r="C753" s="10">
        <v>201</v>
      </c>
      <c r="D753" s="29">
        <v>2707.47</v>
      </c>
      <c r="E753" s="29">
        <v>821.14700000000005</v>
      </c>
      <c r="F753" s="30">
        <v>45504</v>
      </c>
      <c r="G753" s="10">
        <v>0</v>
      </c>
      <c r="H753" s="10">
        <v>0</v>
      </c>
      <c r="I753" s="10">
        <v>0</v>
      </c>
      <c r="J753" t="s">
        <v>54</v>
      </c>
      <c r="K753" s="10">
        <v>8020</v>
      </c>
    </row>
    <row r="754" spans="1:11">
      <c r="A754" s="10">
        <v>5002</v>
      </c>
      <c r="B754" s="10">
        <v>1</v>
      </c>
      <c r="C754" s="10">
        <v>236</v>
      </c>
      <c r="D754" s="29">
        <v>5262.8</v>
      </c>
      <c r="E754" s="29">
        <v>1268.383</v>
      </c>
      <c r="F754" s="30">
        <v>45930</v>
      </c>
      <c r="G754" s="10">
        <v>0</v>
      </c>
      <c r="H754" s="10">
        <v>0</v>
      </c>
      <c r="I754" s="10">
        <v>0</v>
      </c>
      <c r="J754" t="s">
        <v>54</v>
      </c>
      <c r="K754" s="10">
        <v>8006</v>
      </c>
    </row>
    <row r="755" spans="1:11">
      <c r="A755" s="10">
        <v>5016</v>
      </c>
      <c r="B755" s="10">
        <v>3</v>
      </c>
      <c r="C755" s="10">
        <v>224</v>
      </c>
      <c r="D755" s="29">
        <v>2103.36</v>
      </c>
      <c r="E755" s="29">
        <v>352.26499999999999</v>
      </c>
      <c r="F755" s="30">
        <v>45626</v>
      </c>
      <c r="G755" s="10">
        <v>0</v>
      </c>
      <c r="H755" s="10">
        <v>0</v>
      </c>
      <c r="I755" s="10">
        <v>0</v>
      </c>
      <c r="J755" t="s">
        <v>54</v>
      </c>
      <c r="K755" s="10">
        <v>8019</v>
      </c>
    </row>
    <row r="756" spans="1:11">
      <c r="A756" s="10">
        <v>5003</v>
      </c>
      <c r="B756" s="10">
        <v>1</v>
      </c>
      <c r="C756" s="10">
        <v>87</v>
      </c>
      <c r="D756" s="29">
        <v>398.46</v>
      </c>
      <c r="E756" s="29">
        <v>71.897000000000006</v>
      </c>
      <c r="F756" s="30">
        <v>45961</v>
      </c>
      <c r="G756" s="10">
        <v>0</v>
      </c>
      <c r="H756" s="10">
        <v>0</v>
      </c>
      <c r="I756" s="10">
        <v>0</v>
      </c>
      <c r="J756" t="s">
        <v>54</v>
      </c>
      <c r="K756" s="10">
        <v>8018</v>
      </c>
    </row>
    <row r="757" spans="1:11">
      <c r="A757" s="10">
        <v>5015</v>
      </c>
      <c r="B757" s="10">
        <v>4</v>
      </c>
      <c r="C757" s="10">
        <v>163</v>
      </c>
      <c r="D757" s="29">
        <v>446.62</v>
      </c>
      <c r="E757" s="29">
        <v>163.55000000000001</v>
      </c>
      <c r="F757" s="30">
        <v>45869</v>
      </c>
      <c r="G757" s="10">
        <v>0</v>
      </c>
      <c r="H757" s="10">
        <v>0</v>
      </c>
      <c r="I757" s="10">
        <v>0</v>
      </c>
      <c r="J757" t="s">
        <v>54</v>
      </c>
      <c r="K757" s="10">
        <v>8001</v>
      </c>
    </row>
    <row r="758" spans="1:11">
      <c r="A758" s="10">
        <v>5001</v>
      </c>
      <c r="B758" s="10">
        <v>1</v>
      </c>
      <c r="C758" s="10">
        <v>45</v>
      </c>
      <c r="D758" s="29">
        <v>747.9</v>
      </c>
      <c r="E758" s="29">
        <v>271.79899999999998</v>
      </c>
      <c r="F758" s="30">
        <v>45716</v>
      </c>
      <c r="G758" s="10">
        <v>0</v>
      </c>
      <c r="H758" s="10">
        <v>0</v>
      </c>
      <c r="I758" s="10">
        <v>0</v>
      </c>
      <c r="J758" t="s">
        <v>54</v>
      </c>
      <c r="K758" s="10">
        <v>8002</v>
      </c>
    </row>
    <row r="759" spans="1:11">
      <c r="A759" s="10">
        <v>5003</v>
      </c>
      <c r="B759" s="10">
        <v>1</v>
      </c>
      <c r="C759" s="10">
        <v>131</v>
      </c>
      <c r="D759" s="29">
        <v>500.42</v>
      </c>
      <c r="E759" s="29">
        <v>202.61</v>
      </c>
      <c r="F759" s="30">
        <v>45991</v>
      </c>
      <c r="G759" s="10">
        <v>0</v>
      </c>
      <c r="H759" s="10">
        <v>0</v>
      </c>
      <c r="I759" s="10">
        <v>0</v>
      </c>
      <c r="J759" t="s">
        <v>54</v>
      </c>
      <c r="K759" s="10">
        <v>8020</v>
      </c>
    </row>
    <row r="760" spans="1:11">
      <c r="A760" s="10">
        <v>5005</v>
      </c>
      <c r="B760" s="10">
        <v>2</v>
      </c>
      <c r="C760" s="10">
        <v>205</v>
      </c>
      <c r="D760" s="29">
        <v>1469.85</v>
      </c>
      <c r="E760" s="29">
        <v>273.05</v>
      </c>
      <c r="F760" s="30">
        <v>46022</v>
      </c>
      <c r="G760" s="10">
        <v>0</v>
      </c>
      <c r="H760" s="10">
        <v>0</v>
      </c>
      <c r="I760" s="10">
        <v>0</v>
      </c>
      <c r="J760" t="s">
        <v>54</v>
      </c>
      <c r="K760" s="10">
        <v>8002</v>
      </c>
    </row>
    <row r="761" spans="1:11">
      <c r="A761" s="10">
        <v>5001</v>
      </c>
      <c r="B761" s="10">
        <v>1</v>
      </c>
      <c r="C761" s="10">
        <v>90</v>
      </c>
      <c r="D761" s="29">
        <v>1963.8</v>
      </c>
      <c r="E761" s="29">
        <v>811.30600000000004</v>
      </c>
      <c r="F761" s="30">
        <v>45777</v>
      </c>
      <c r="G761" s="10">
        <v>0</v>
      </c>
      <c r="H761" s="10">
        <v>0</v>
      </c>
      <c r="I761" s="10">
        <v>0</v>
      </c>
      <c r="J761" t="s">
        <v>54</v>
      </c>
      <c r="K761" s="10">
        <v>8003</v>
      </c>
    </row>
    <row r="762" spans="1:11">
      <c r="A762" s="10">
        <v>5003</v>
      </c>
      <c r="B762" s="10">
        <v>3</v>
      </c>
      <c r="C762" s="10">
        <v>90</v>
      </c>
      <c r="D762" s="29">
        <v>1339.2</v>
      </c>
      <c r="E762" s="29">
        <v>547.75199999999995</v>
      </c>
      <c r="F762" s="30">
        <v>45412</v>
      </c>
      <c r="G762" s="10">
        <v>0</v>
      </c>
      <c r="H762" s="10">
        <v>0</v>
      </c>
      <c r="I762" s="10">
        <v>0</v>
      </c>
      <c r="J762" t="s">
        <v>54</v>
      </c>
      <c r="K762" s="10">
        <v>8007</v>
      </c>
    </row>
    <row r="763" spans="1:11">
      <c r="A763" s="10">
        <v>5005</v>
      </c>
      <c r="B763" s="10">
        <v>1</v>
      </c>
      <c r="C763" s="10">
        <v>79</v>
      </c>
      <c r="D763" s="29">
        <v>340.49</v>
      </c>
      <c r="E763" s="29">
        <v>65.421999999999997</v>
      </c>
      <c r="F763" s="30">
        <v>45473</v>
      </c>
      <c r="G763" s="10">
        <v>0</v>
      </c>
      <c r="H763" s="10">
        <v>0</v>
      </c>
      <c r="I763" s="10">
        <v>0</v>
      </c>
      <c r="J763" t="s">
        <v>54</v>
      </c>
      <c r="K763" s="10">
        <v>8004</v>
      </c>
    </row>
    <row r="764" spans="1:11">
      <c r="A764" s="10">
        <v>5002</v>
      </c>
      <c r="B764" s="10">
        <v>3</v>
      </c>
      <c r="C764" s="10">
        <v>128</v>
      </c>
      <c r="D764" s="29">
        <v>345.6</v>
      </c>
      <c r="E764" s="29">
        <v>65.694000000000003</v>
      </c>
      <c r="F764" s="30">
        <v>45412</v>
      </c>
      <c r="G764" s="10">
        <v>0</v>
      </c>
      <c r="H764" s="10">
        <v>0</v>
      </c>
      <c r="I764" s="10">
        <v>0</v>
      </c>
      <c r="J764" t="s">
        <v>54</v>
      </c>
      <c r="K764" s="10">
        <v>8014</v>
      </c>
    </row>
    <row r="765" spans="1:11">
      <c r="A765" s="10">
        <v>5010</v>
      </c>
      <c r="B765" s="10">
        <v>6</v>
      </c>
      <c r="C765" s="10">
        <v>75</v>
      </c>
      <c r="D765" s="29">
        <v>1057.5</v>
      </c>
      <c r="E765" s="29">
        <v>404.38299999999998</v>
      </c>
      <c r="F765" s="30">
        <v>45565</v>
      </c>
      <c r="G765" s="10">
        <v>0</v>
      </c>
      <c r="H765" s="10">
        <v>0</v>
      </c>
      <c r="I765" s="10">
        <v>0</v>
      </c>
      <c r="J765" t="s">
        <v>54</v>
      </c>
      <c r="K765" s="10">
        <v>8004</v>
      </c>
    </row>
    <row r="766" spans="1:11">
      <c r="A766" s="10">
        <v>5001</v>
      </c>
      <c r="B766" s="10">
        <v>2</v>
      </c>
      <c r="C766" s="10">
        <v>172</v>
      </c>
      <c r="D766" s="29">
        <v>994.16</v>
      </c>
      <c r="E766" s="29">
        <v>286.14800000000002</v>
      </c>
      <c r="F766" s="30">
        <v>45473</v>
      </c>
      <c r="G766" s="10">
        <v>0</v>
      </c>
      <c r="H766" s="10">
        <v>0</v>
      </c>
      <c r="I766" s="10">
        <v>0</v>
      </c>
      <c r="J766" t="s">
        <v>54</v>
      </c>
      <c r="K766" s="10">
        <v>8017</v>
      </c>
    </row>
    <row r="767" spans="1:11">
      <c r="A767" s="10">
        <v>5006</v>
      </c>
      <c r="B767" s="10">
        <v>1</v>
      </c>
      <c r="C767" s="10">
        <v>63</v>
      </c>
      <c r="D767" s="29">
        <v>673.47</v>
      </c>
      <c r="E767" s="29">
        <v>125.56699999999999</v>
      </c>
      <c r="F767" s="30">
        <v>45412</v>
      </c>
      <c r="G767" s="10">
        <v>0</v>
      </c>
      <c r="H767" s="10">
        <v>0</v>
      </c>
      <c r="I767" s="10">
        <v>0</v>
      </c>
      <c r="J767" t="s">
        <v>54</v>
      </c>
      <c r="K767" s="10">
        <v>8010</v>
      </c>
    </row>
    <row r="768" spans="1:11">
      <c r="A768" s="10">
        <v>5028</v>
      </c>
      <c r="B768" s="10">
        <v>6</v>
      </c>
      <c r="C768" s="10">
        <v>77</v>
      </c>
      <c r="D768" s="29">
        <v>1155.77</v>
      </c>
      <c r="E768" s="29">
        <v>221.81299999999999</v>
      </c>
      <c r="F768" s="30">
        <v>45991</v>
      </c>
      <c r="G768" s="10">
        <v>0</v>
      </c>
      <c r="H768" s="10">
        <v>0</v>
      </c>
      <c r="I768" s="10">
        <v>0</v>
      </c>
      <c r="J768" t="s">
        <v>54</v>
      </c>
      <c r="K768" s="10">
        <v>8001</v>
      </c>
    </row>
    <row r="769" spans="1:11">
      <c r="A769" s="10">
        <v>5012</v>
      </c>
      <c r="B769" s="10">
        <v>3</v>
      </c>
      <c r="C769" s="10">
        <v>147</v>
      </c>
      <c r="D769" s="29">
        <v>1155.42</v>
      </c>
      <c r="E769" s="29">
        <v>378.28</v>
      </c>
      <c r="F769" s="30">
        <v>45961</v>
      </c>
      <c r="G769" s="10">
        <v>0</v>
      </c>
      <c r="H769" s="10">
        <v>0</v>
      </c>
      <c r="I769" s="10">
        <v>0</v>
      </c>
      <c r="J769" t="s">
        <v>54</v>
      </c>
      <c r="K769" s="10">
        <v>8003</v>
      </c>
    </row>
    <row r="770" spans="1:11">
      <c r="A770" s="10">
        <v>5007</v>
      </c>
      <c r="B770" s="10">
        <v>2</v>
      </c>
      <c r="C770" s="10">
        <v>155</v>
      </c>
      <c r="D770" s="29">
        <v>1238.45</v>
      </c>
      <c r="E770" s="29">
        <v>232.93899999999999</v>
      </c>
      <c r="F770" s="30">
        <v>45626</v>
      </c>
      <c r="G770" s="10">
        <v>0</v>
      </c>
      <c r="H770" s="10">
        <v>0</v>
      </c>
      <c r="I770" s="10">
        <v>0</v>
      </c>
      <c r="J770" t="s">
        <v>54</v>
      </c>
      <c r="K770" s="10">
        <v>8009</v>
      </c>
    </row>
    <row r="771" spans="1:11">
      <c r="A771" s="10">
        <v>5008</v>
      </c>
      <c r="B771" s="10">
        <v>1</v>
      </c>
      <c r="C771" s="10">
        <v>-54</v>
      </c>
      <c r="D771" s="29">
        <v>-160.38</v>
      </c>
      <c r="E771" s="29">
        <v>0</v>
      </c>
      <c r="F771" s="30">
        <v>45535</v>
      </c>
      <c r="G771" s="10">
        <v>1</v>
      </c>
      <c r="H771" s="10">
        <v>1</v>
      </c>
      <c r="I771" s="10">
        <v>0</v>
      </c>
      <c r="J771" t="s">
        <v>2</v>
      </c>
      <c r="K771" s="10">
        <v>8009</v>
      </c>
    </row>
    <row r="772" spans="1:11">
      <c r="A772" s="10">
        <v>5005</v>
      </c>
      <c r="B772" s="10">
        <v>1</v>
      </c>
      <c r="C772" s="10">
        <v>-188</v>
      </c>
      <c r="D772" s="29">
        <v>-740.72</v>
      </c>
      <c r="E772" s="29">
        <v>-107.505</v>
      </c>
      <c r="F772" s="30">
        <v>46022</v>
      </c>
      <c r="G772" s="10">
        <v>1</v>
      </c>
      <c r="H772" s="10">
        <v>1</v>
      </c>
      <c r="I772" s="10">
        <v>0</v>
      </c>
      <c r="J772" t="s">
        <v>2</v>
      </c>
      <c r="K772" s="10">
        <v>8011</v>
      </c>
    </row>
    <row r="773" spans="1:11">
      <c r="A773" s="10">
        <v>5003</v>
      </c>
      <c r="B773" s="10">
        <v>2</v>
      </c>
      <c r="C773" s="10">
        <v>79</v>
      </c>
      <c r="D773" s="29">
        <v>744.97</v>
      </c>
      <c r="E773" s="29">
        <v>225.071</v>
      </c>
      <c r="F773" s="30">
        <v>45930</v>
      </c>
      <c r="G773" s="10">
        <v>0</v>
      </c>
      <c r="H773" s="10">
        <v>0</v>
      </c>
      <c r="I773" s="10">
        <v>0</v>
      </c>
      <c r="J773" t="s">
        <v>54</v>
      </c>
      <c r="K773" s="10">
        <v>8010</v>
      </c>
    </row>
    <row r="774" spans="1:11">
      <c r="A774" s="10">
        <v>5001</v>
      </c>
      <c r="B774" s="10">
        <v>5</v>
      </c>
      <c r="C774" s="10">
        <v>84</v>
      </c>
      <c r="D774" s="29">
        <v>737.52</v>
      </c>
      <c r="E774" s="29">
        <v>206.14500000000001</v>
      </c>
      <c r="F774" s="30">
        <v>46022</v>
      </c>
      <c r="G774" s="10">
        <v>0</v>
      </c>
      <c r="H774" s="10">
        <v>0</v>
      </c>
      <c r="I774" s="10">
        <v>0</v>
      </c>
      <c r="J774" t="s">
        <v>54</v>
      </c>
      <c r="K774" s="10">
        <v>8005</v>
      </c>
    </row>
    <row r="775" spans="1:11">
      <c r="A775" s="10">
        <v>5009</v>
      </c>
      <c r="B775" s="10">
        <v>1</v>
      </c>
      <c r="C775" s="10">
        <v>196</v>
      </c>
      <c r="D775" s="29">
        <v>2491.16</v>
      </c>
      <c r="E775" s="29">
        <v>862.16099999999994</v>
      </c>
      <c r="F775" s="30">
        <v>45351</v>
      </c>
      <c r="G775" s="10">
        <v>0</v>
      </c>
      <c r="H775" s="10">
        <v>0</v>
      </c>
      <c r="I775" s="10">
        <v>0</v>
      </c>
      <c r="J775" t="s">
        <v>54</v>
      </c>
      <c r="K775" s="10">
        <v>8018</v>
      </c>
    </row>
    <row r="776" spans="1:11">
      <c r="A776" s="10">
        <v>5002</v>
      </c>
      <c r="B776" s="10">
        <v>3</v>
      </c>
      <c r="C776" s="10">
        <v>158</v>
      </c>
      <c r="D776" s="29">
        <v>2291</v>
      </c>
      <c r="E776" s="29">
        <v>875.46299999999997</v>
      </c>
      <c r="F776" s="30">
        <v>45688</v>
      </c>
      <c r="G776" s="10">
        <v>0</v>
      </c>
      <c r="H776" s="10">
        <v>0</v>
      </c>
      <c r="I776" s="10">
        <v>0</v>
      </c>
      <c r="J776" t="s">
        <v>54</v>
      </c>
      <c r="K776" s="10">
        <v>8010</v>
      </c>
    </row>
    <row r="777" spans="1:11">
      <c r="A777" s="10">
        <v>5005</v>
      </c>
      <c r="B777" s="10">
        <v>6</v>
      </c>
      <c r="C777" s="10">
        <v>102</v>
      </c>
      <c r="D777" s="29">
        <v>982.26</v>
      </c>
      <c r="E777" s="29">
        <v>239.00899999999999</v>
      </c>
      <c r="F777" s="30">
        <v>45688</v>
      </c>
      <c r="G777" s="10">
        <v>0</v>
      </c>
      <c r="H777" s="10">
        <v>0</v>
      </c>
      <c r="I777" s="10">
        <v>0</v>
      </c>
      <c r="J777" t="s">
        <v>54</v>
      </c>
      <c r="K777" s="10">
        <v>8007</v>
      </c>
    </row>
    <row r="778" spans="1:11">
      <c r="A778" s="10">
        <v>5001</v>
      </c>
      <c r="B778" s="10">
        <v>2</v>
      </c>
      <c r="C778" s="10">
        <v>191</v>
      </c>
      <c r="D778" s="29">
        <v>458.4</v>
      </c>
      <c r="E778" s="29">
        <v>114.01600000000001</v>
      </c>
      <c r="F778" s="30">
        <v>45351</v>
      </c>
      <c r="G778" s="10">
        <v>0</v>
      </c>
      <c r="H778" s="10">
        <v>0</v>
      </c>
      <c r="I778" s="10">
        <v>0</v>
      </c>
      <c r="J778" t="s">
        <v>54</v>
      </c>
      <c r="K778" s="10">
        <v>8017</v>
      </c>
    </row>
    <row r="779" spans="1:11">
      <c r="A779" s="10">
        <v>5005</v>
      </c>
      <c r="B779" s="10">
        <v>2</v>
      </c>
      <c r="C779" s="10">
        <v>167</v>
      </c>
      <c r="D779" s="29">
        <v>1219.0999999999999</v>
      </c>
      <c r="E779" s="29">
        <v>382.86799999999999</v>
      </c>
      <c r="F779" s="30">
        <v>45412</v>
      </c>
      <c r="G779" s="10">
        <v>0</v>
      </c>
      <c r="H779" s="10">
        <v>0</v>
      </c>
      <c r="I779" s="10">
        <v>0</v>
      </c>
      <c r="J779" t="s">
        <v>54</v>
      </c>
      <c r="K779" s="10">
        <v>8004</v>
      </c>
    </row>
    <row r="780" spans="1:11">
      <c r="A780" s="10">
        <v>5001</v>
      </c>
      <c r="B780" s="10">
        <v>1</v>
      </c>
      <c r="C780" s="10">
        <v>34</v>
      </c>
      <c r="D780" s="29">
        <v>307.36</v>
      </c>
      <c r="E780" s="29">
        <v>118.172</v>
      </c>
      <c r="F780" s="30">
        <v>45991</v>
      </c>
      <c r="G780" s="10">
        <v>0</v>
      </c>
      <c r="H780" s="10">
        <v>0</v>
      </c>
      <c r="I780" s="10">
        <v>0</v>
      </c>
      <c r="J780" t="s">
        <v>54</v>
      </c>
      <c r="K780" s="10">
        <v>8004</v>
      </c>
    </row>
    <row r="781" spans="1:11">
      <c r="A781" s="10">
        <v>5020</v>
      </c>
      <c r="B781" s="10">
        <v>3</v>
      </c>
      <c r="C781" s="10">
        <v>135</v>
      </c>
      <c r="D781" s="29">
        <v>3196.8</v>
      </c>
      <c r="E781" s="29">
        <v>835.89400000000001</v>
      </c>
      <c r="F781" s="30">
        <v>45747</v>
      </c>
      <c r="G781" s="10">
        <v>0</v>
      </c>
      <c r="H781" s="10">
        <v>0</v>
      </c>
      <c r="I781" s="10">
        <v>0</v>
      </c>
      <c r="J781" t="s">
        <v>54</v>
      </c>
      <c r="K781" s="10">
        <v>8003</v>
      </c>
    </row>
    <row r="782" spans="1:11">
      <c r="A782" s="10">
        <v>5016</v>
      </c>
      <c r="B782" s="10">
        <v>3</v>
      </c>
      <c r="C782" s="10">
        <v>85</v>
      </c>
      <c r="D782" s="29">
        <v>1101.5999999999999</v>
      </c>
      <c r="E782" s="29">
        <v>273.50599999999997</v>
      </c>
      <c r="F782" s="30">
        <v>45777</v>
      </c>
      <c r="G782" s="10">
        <v>0</v>
      </c>
      <c r="H782" s="10">
        <v>0</v>
      </c>
      <c r="I782" s="10">
        <v>0</v>
      </c>
      <c r="J782" t="s">
        <v>54</v>
      </c>
      <c r="K782" s="10">
        <v>8002</v>
      </c>
    </row>
    <row r="783" spans="1:11">
      <c r="A783" s="10">
        <v>5005</v>
      </c>
      <c r="B783" s="10">
        <v>2</v>
      </c>
      <c r="C783" s="10">
        <v>228</v>
      </c>
      <c r="D783" s="29">
        <v>4393.5600000000004</v>
      </c>
      <c r="E783" s="29">
        <v>1315.067</v>
      </c>
      <c r="F783" s="30">
        <v>45808</v>
      </c>
      <c r="G783" s="10">
        <v>0</v>
      </c>
      <c r="H783" s="10">
        <v>0</v>
      </c>
      <c r="I783" s="10">
        <v>0</v>
      </c>
      <c r="J783" t="s">
        <v>54</v>
      </c>
      <c r="K783" s="10">
        <v>8006</v>
      </c>
    </row>
    <row r="784" spans="1:11">
      <c r="A784" s="10">
        <v>5001</v>
      </c>
      <c r="B784" s="10">
        <v>2</v>
      </c>
      <c r="C784" s="10">
        <v>72</v>
      </c>
      <c r="D784" s="29">
        <v>1316.88</v>
      </c>
      <c r="E784" s="29">
        <v>499.74099999999999</v>
      </c>
      <c r="F784" s="30">
        <v>45565</v>
      </c>
      <c r="G784" s="10">
        <v>0</v>
      </c>
      <c r="H784" s="10">
        <v>0</v>
      </c>
      <c r="I784" s="10">
        <v>0</v>
      </c>
      <c r="J784" t="s">
        <v>54</v>
      </c>
      <c r="K784" s="10">
        <v>8030</v>
      </c>
    </row>
    <row r="785" spans="1:11">
      <c r="A785" s="10">
        <v>5005</v>
      </c>
      <c r="B785" s="10">
        <v>4</v>
      </c>
      <c r="C785" s="10">
        <v>102</v>
      </c>
      <c r="D785" s="29">
        <v>658.92</v>
      </c>
      <c r="E785" s="29">
        <v>217.048</v>
      </c>
      <c r="F785" s="30">
        <v>45412</v>
      </c>
      <c r="G785" s="10">
        <v>0</v>
      </c>
      <c r="H785" s="10">
        <v>0</v>
      </c>
      <c r="I785" s="10">
        <v>0</v>
      </c>
      <c r="J785" t="s">
        <v>54</v>
      </c>
      <c r="K785" s="10">
        <v>8001</v>
      </c>
    </row>
    <row r="786" spans="1:11">
      <c r="A786" s="10">
        <v>5016</v>
      </c>
      <c r="B786" s="10">
        <v>2</v>
      </c>
      <c r="C786" s="10">
        <v>75</v>
      </c>
      <c r="D786" s="29">
        <v>804.75</v>
      </c>
      <c r="E786" s="29">
        <v>223.59100000000001</v>
      </c>
      <c r="F786" s="30">
        <v>45596</v>
      </c>
      <c r="G786" s="10">
        <v>0</v>
      </c>
      <c r="H786" s="10">
        <v>0</v>
      </c>
      <c r="I786" s="10">
        <v>0</v>
      </c>
      <c r="J786" t="s">
        <v>54</v>
      </c>
      <c r="K786" s="10">
        <v>8005</v>
      </c>
    </row>
    <row r="787" spans="1:11">
      <c r="A787" s="10">
        <v>5003</v>
      </c>
      <c r="B787" s="10">
        <v>3</v>
      </c>
      <c r="C787" s="10">
        <v>213</v>
      </c>
      <c r="D787" s="29">
        <v>3111.93</v>
      </c>
      <c r="E787" s="29">
        <v>1276.3589999999999</v>
      </c>
      <c r="F787" s="30">
        <v>45930</v>
      </c>
      <c r="G787" s="10">
        <v>0</v>
      </c>
      <c r="H787" s="10">
        <v>0</v>
      </c>
      <c r="I787" s="10">
        <v>0</v>
      </c>
      <c r="J787" t="s">
        <v>54</v>
      </c>
      <c r="K787" s="10">
        <v>8001</v>
      </c>
    </row>
    <row r="788" spans="1:11">
      <c r="A788" s="10">
        <v>5007</v>
      </c>
      <c r="B788" s="10">
        <v>2</v>
      </c>
      <c r="C788" s="10">
        <v>155</v>
      </c>
      <c r="D788" s="29">
        <v>2924.85</v>
      </c>
      <c r="E788" s="29">
        <v>898.48500000000001</v>
      </c>
      <c r="F788" s="30">
        <v>45900</v>
      </c>
      <c r="G788" s="10">
        <v>0</v>
      </c>
      <c r="H788" s="10">
        <v>0</v>
      </c>
      <c r="I788" s="10">
        <v>0</v>
      </c>
      <c r="J788" t="s">
        <v>54</v>
      </c>
      <c r="K788" s="10">
        <v>8023</v>
      </c>
    </row>
    <row r="789" spans="1:11">
      <c r="A789" s="10">
        <v>5008</v>
      </c>
      <c r="B789" s="10">
        <v>1</v>
      </c>
      <c r="C789" s="10">
        <v>64</v>
      </c>
      <c r="D789" s="29">
        <v>1088.6400000000001</v>
      </c>
      <c r="E789" s="29">
        <v>297.41800000000001</v>
      </c>
      <c r="F789" s="30">
        <v>45808</v>
      </c>
      <c r="G789" s="10">
        <v>0</v>
      </c>
      <c r="H789" s="10">
        <v>0</v>
      </c>
      <c r="I789" s="10">
        <v>0</v>
      </c>
      <c r="J789" t="s">
        <v>54</v>
      </c>
      <c r="K789" s="10">
        <v>8004</v>
      </c>
    </row>
    <row r="790" spans="1:11">
      <c r="A790" s="10">
        <v>5017</v>
      </c>
      <c r="B790" s="10">
        <v>1</v>
      </c>
      <c r="C790" s="10">
        <v>130</v>
      </c>
      <c r="D790" s="29">
        <v>2611.6999999999998</v>
      </c>
      <c r="E790" s="29">
        <v>592.01</v>
      </c>
      <c r="F790" s="30">
        <v>45596</v>
      </c>
      <c r="G790" s="10">
        <v>0</v>
      </c>
      <c r="H790" s="10">
        <v>0</v>
      </c>
      <c r="I790" s="10">
        <v>0</v>
      </c>
      <c r="J790" t="s">
        <v>54</v>
      </c>
      <c r="K790" s="10">
        <v>8001</v>
      </c>
    </row>
    <row r="791" spans="1:11">
      <c r="A791" s="10">
        <v>5006</v>
      </c>
      <c r="B791" s="10">
        <v>1</v>
      </c>
      <c r="C791" s="10">
        <v>83</v>
      </c>
      <c r="D791" s="29">
        <v>1673.28</v>
      </c>
      <c r="E791" s="29">
        <v>511.27800000000002</v>
      </c>
      <c r="F791" s="30">
        <v>45777</v>
      </c>
      <c r="G791" s="10">
        <v>0</v>
      </c>
      <c r="H791" s="10">
        <v>0</v>
      </c>
      <c r="I791" s="10">
        <v>0</v>
      </c>
      <c r="J791" t="s">
        <v>54</v>
      </c>
      <c r="K791" s="10">
        <v>8002</v>
      </c>
    </row>
    <row r="792" spans="1:11">
      <c r="A792" s="10">
        <v>5011</v>
      </c>
      <c r="B792" s="10">
        <v>1</v>
      </c>
      <c r="C792" s="10">
        <v>68</v>
      </c>
      <c r="D792" s="29">
        <v>512.72</v>
      </c>
      <c r="E792" s="29">
        <v>169.84100000000001</v>
      </c>
      <c r="F792" s="30">
        <v>45657</v>
      </c>
      <c r="G792" s="10">
        <v>0</v>
      </c>
      <c r="H792" s="10">
        <v>0</v>
      </c>
      <c r="I792" s="10">
        <v>0</v>
      </c>
      <c r="J792" t="s">
        <v>54</v>
      </c>
      <c r="K792" s="10">
        <v>8001</v>
      </c>
    </row>
    <row r="793" spans="1:11">
      <c r="A793" s="10">
        <v>5018</v>
      </c>
      <c r="B793" s="10">
        <v>2</v>
      </c>
      <c r="C793" s="10">
        <v>-25</v>
      </c>
      <c r="D793" s="29">
        <v>-522</v>
      </c>
      <c r="E793" s="29">
        <v>0</v>
      </c>
      <c r="F793" s="30">
        <v>45473</v>
      </c>
      <c r="G793" s="10">
        <v>1</v>
      </c>
      <c r="H793" s="10">
        <v>1</v>
      </c>
      <c r="I793" s="10">
        <v>0</v>
      </c>
      <c r="J793" t="s">
        <v>2</v>
      </c>
      <c r="K793" s="10">
        <v>8026</v>
      </c>
    </row>
    <row r="794" spans="1:11">
      <c r="A794" s="10">
        <v>5020</v>
      </c>
      <c r="B794" s="10">
        <v>2</v>
      </c>
      <c r="C794" s="10">
        <v>207</v>
      </c>
      <c r="D794" s="29">
        <v>786.6</v>
      </c>
      <c r="E794" s="29">
        <v>273.97399999999999</v>
      </c>
      <c r="F794" s="30">
        <v>45991</v>
      </c>
      <c r="G794" s="10">
        <v>0</v>
      </c>
      <c r="H794" s="10">
        <v>0</v>
      </c>
      <c r="I794" s="10">
        <v>0</v>
      </c>
      <c r="J794" t="s">
        <v>54</v>
      </c>
      <c r="K794" s="10">
        <v>8005</v>
      </c>
    </row>
    <row r="795" spans="1:11">
      <c r="A795" s="10">
        <v>5002</v>
      </c>
      <c r="B795" s="10">
        <v>5</v>
      </c>
      <c r="C795" s="10">
        <v>99</v>
      </c>
      <c r="D795" s="29">
        <v>1999.8</v>
      </c>
      <c r="E795" s="29">
        <v>804.32799999999997</v>
      </c>
      <c r="F795" s="30">
        <v>45443</v>
      </c>
      <c r="G795" s="10">
        <v>0</v>
      </c>
      <c r="H795" s="10">
        <v>0</v>
      </c>
      <c r="I795" s="10">
        <v>0</v>
      </c>
      <c r="J795" t="s">
        <v>54</v>
      </c>
      <c r="K795" s="10">
        <v>8013</v>
      </c>
    </row>
    <row r="796" spans="1:11">
      <c r="A796" s="10">
        <v>5019</v>
      </c>
      <c r="B796" s="10">
        <v>1</v>
      </c>
      <c r="C796" s="10">
        <v>232</v>
      </c>
      <c r="D796" s="29">
        <v>2113.52</v>
      </c>
      <c r="E796" s="29">
        <v>552.447</v>
      </c>
      <c r="F796" s="30">
        <v>45535</v>
      </c>
      <c r="G796" s="10">
        <v>0</v>
      </c>
      <c r="H796" s="10">
        <v>0</v>
      </c>
      <c r="I796" s="10">
        <v>0</v>
      </c>
      <c r="J796" t="s">
        <v>54</v>
      </c>
      <c r="K796" s="10">
        <v>8003</v>
      </c>
    </row>
    <row r="797" spans="1:11">
      <c r="A797" s="10">
        <v>5003</v>
      </c>
      <c r="B797" s="10">
        <v>1</v>
      </c>
      <c r="C797" s="10">
        <v>69</v>
      </c>
      <c r="D797" s="29">
        <v>1609.77</v>
      </c>
      <c r="E797" s="29">
        <v>364</v>
      </c>
      <c r="F797" s="30">
        <v>45900</v>
      </c>
      <c r="G797" s="10">
        <v>0</v>
      </c>
      <c r="H797" s="10">
        <v>0</v>
      </c>
      <c r="I797" s="10">
        <v>0</v>
      </c>
      <c r="J797" t="s">
        <v>54</v>
      </c>
      <c r="K797" s="10">
        <v>8005</v>
      </c>
    </row>
    <row r="798" spans="1:11">
      <c r="A798" s="10">
        <v>5007</v>
      </c>
      <c r="B798" s="10">
        <v>6</v>
      </c>
      <c r="C798" s="10">
        <v>58</v>
      </c>
      <c r="D798" s="29">
        <v>650.17999999999995</v>
      </c>
      <c r="E798" s="29">
        <v>266.87400000000002</v>
      </c>
      <c r="F798" s="30">
        <v>45777</v>
      </c>
      <c r="G798" s="10">
        <v>0</v>
      </c>
      <c r="H798" s="10">
        <v>0</v>
      </c>
      <c r="I798" s="10">
        <v>0</v>
      </c>
      <c r="J798" t="s">
        <v>54</v>
      </c>
      <c r="K798" s="10">
        <v>8004</v>
      </c>
    </row>
    <row r="799" spans="1:11">
      <c r="A799" s="10">
        <v>5023</v>
      </c>
      <c r="B799" s="10">
        <v>3</v>
      </c>
      <c r="C799" s="10">
        <v>247</v>
      </c>
      <c r="D799" s="29">
        <v>560.69000000000005</v>
      </c>
      <c r="E799" s="29">
        <v>178.02600000000001</v>
      </c>
      <c r="F799" s="30">
        <v>45991</v>
      </c>
      <c r="G799" s="10">
        <v>0</v>
      </c>
      <c r="H799" s="10">
        <v>0</v>
      </c>
      <c r="I799" s="10">
        <v>0</v>
      </c>
      <c r="J799" t="s">
        <v>54</v>
      </c>
      <c r="K799" s="10">
        <v>8004</v>
      </c>
    </row>
    <row r="800" spans="1:11">
      <c r="A800" s="10">
        <v>5011</v>
      </c>
      <c r="B800" s="10">
        <v>3</v>
      </c>
      <c r="C800" s="10">
        <v>206</v>
      </c>
      <c r="D800" s="29">
        <v>1466.72</v>
      </c>
      <c r="E800" s="29">
        <v>352.61399999999998</v>
      </c>
      <c r="F800" s="30">
        <v>45961</v>
      </c>
      <c r="G800" s="10">
        <v>0</v>
      </c>
      <c r="H800" s="10">
        <v>0</v>
      </c>
      <c r="I800" s="10">
        <v>0</v>
      </c>
      <c r="J800" t="s">
        <v>54</v>
      </c>
      <c r="K800" s="10">
        <v>8023</v>
      </c>
    </row>
    <row r="801" spans="1:11">
      <c r="A801" s="10">
        <v>5005</v>
      </c>
      <c r="B801" s="10">
        <v>1</v>
      </c>
      <c r="C801" s="10">
        <v>283</v>
      </c>
      <c r="D801" s="29">
        <v>5897.72</v>
      </c>
      <c r="E801" s="29">
        <v>2338.712</v>
      </c>
      <c r="F801" s="30">
        <v>46022</v>
      </c>
      <c r="G801" s="10">
        <v>0</v>
      </c>
      <c r="H801" s="10">
        <v>0</v>
      </c>
      <c r="I801" s="10">
        <v>0</v>
      </c>
      <c r="J801" t="s">
        <v>54</v>
      </c>
      <c r="K801" s="10">
        <v>8016</v>
      </c>
    </row>
    <row r="802" spans="1:11">
      <c r="A802" s="10">
        <v>5028</v>
      </c>
      <c r="B802" s="10">
        <v>1</v>
      </c>
      <c r="C802" s="10">
        <v>298</v>
      </c>
      <c r="D802" s="29">
        <v>2094.94</v>
      </c>
      <c r="E802" s="29">
        <v>820.09400000000005</v>
      </c>
      <c r="F802" s="30">
        <v>45626</v>
      </c>
      <c r="G802" s="10">
        <v>0</v>
      </c>
      <c r="H802" s="10">
        <v>0</v>
      </c>
      <c r="I802" s="10">
        <v>0</v>
      </c>
      <c r="J802" t="s">
        <v>54</v>
      </c>
      <c r="K802" s="10">
        <v>8003</v>
      </c>
    </row>
    <row r="803" spans="1:11">
      <c r="A803" s="10">
        <v>5010</v>
      </c>
      <c r="B803" s="10">
        <v>4</v>
      </c>
      <c r="C803" s="10">
        <v>112</v>
      </c>
      <c r="D803" s="29">
        <v>285.60000000000002</v>
      </c>
      <c r="E803" s="29">
        <v>106.82299999999999</v>
      </c>
      <c r="F803" s="30">
        <v>45991</v>
      </c>
      <c r="G803" s="10">
        <v>0</v>
      </c>
      <c r="H803" s="10">
        <v>0</v>
      </c>
      <c r="I803" s="10">
        <v>0</v>
      </c>
      <c r="J803" t="s">
        <v>54</v>
      </c>
      <c r="K803" s="10">
        <v>8019</v>
      </c>
    </row>
    <row r="804" spans="1:11">
      <c r="A804" s="10">
        <v>5007</v>
      </c>
      <c r="B804" s="10">
        <v>4</v>
      </c>
      <c r="C804" s="10">
        <v>191</v>
      </c>
      <c r="D804" s="29">
        <v>4060.66</v>
      </c>
      <c r="E804" s="29">
        <v>1520.085</v>
      </c>
      <c r="F804" s="30">
        <v>45991</v>
      </c>
      <c r="G804" s="10">
        <v>0</v>
      </c>
      <c r="H804" s="10">
        <v>0</v>
      </c>
      <c r="I804" s="10">
        <v>0</v>
      </c>
      <c r="J804" t="s">
        <v>54</v>
      </c>
      <c r="K804" s="10">
        <v>8005</v>
      </c>
    </row>
    <row r="805" spans="1:11">
      <c r="A805" s="10">
        <v>5008</v>
      </c>
      <c r="B805" s="10">
        <v>3</v>
      </c>
      <c r="C805" s="10">
        <v>195</v>
      </c>
      <c r="D805" s="29">
        <v>3545.1</v>
      </c>
      <c r="E805" s="29">
        <v>592.42600000000004</v>
      </c>
      <c r="F805" s="30">
        <v>45869</v>
      </c>
      <c r="G805" s="10">
        <v>0</v>
      </c>
      <c r="H805" s="10">
        <v>0</v>
      </c>
      <c r="I805" s="10">
        <v>0</v>
      </c>
      <c r="J805" t="s">
        <v>54</v>
      </c>
      <c r="K805" s="10">
        <v>8004</v>
      </c>
    </row>
    <row r="806" spans="1:11">
      <c r="A806" s="10">
        <v>5011</v>
      </c>
      <c r="B806" s="10">
        <v>4</v>
      </c>
      <c r="C806" s="10">
        <v>47</v>
      </c>
      <c r="D806" s="29">
        <v>502.43</v>
      </c>
      <c r="E806" s="29">
        <v>121.371</v>
      </c>
      <c r="F806" s="30">
        <v>45382</v>
      </c>
      <c r="G806" s="10">
        <v>0</v>
      </c>
      <c r="H806" s="10">
        <v>0</v>
      </c>
      <c r="I806" s="10">
        <v>0</v>
      </c>
      <c r="J806" t="s">
        <v>54</v>
      </c>
      <c r="K806" s="10">
        <v>8010</v>
      </c>
    </row>
    <row r="807" spans="1:11">
      <c r="A807" s="10">
        <v>5002</v>
      </c>
      <c r="B807" s="10">
        <v>6</v>
      </c>
      <c r="C807" s="10">
        <v>145</v>
      </c>
      <c r="D807" s="29">
        <v>2717.3</v>
      </c>
      <c r="E807" s="29">
        <v>919.25099999999998</v>
      </c>
      <c r="F807" s="30">
        <v>45382</v>
      </c>
      <c r="G807" s="10">
        <v>0</v>
      </c>
      <c r="H807" s="10">
        <v>0</v>
      </c>
      <c r="I807" s="10">
        <v>0</v>
      </c>
      <c r="J807" t="s">
        <v>54</v>
      </c>
      <c r="K807" s="10">
        <v>8007</v>
      </c>
    </row>
    <row r="808" spans="1:11">
      <c r="A808" s="10">
        <v>5005</v>
      </c>
      <c r="B808" s="10">
        <v>3</v>
      </c>
      <c r="C808" s="10">
        <v>72</v>
      </c>
      <c r="D808" s="29">
        <v>1228.32</v>
      </c>
      <c r="E808" s="29">
        <v>451.87099999999998</v>
      </c>
      <c r="F808" s="30">
        <v>45930</v>
      </c>
      <c r="G808" s="10">
        <v>0</v>
      </c>
      <c r="H808" s="10">
        <v>0</v>
      </c>
      <c r="I808" s="10">
        <v>0</v>
      </c>
      <c r="J808" t="s">
        <v>54</v>
      </c>
      <c r="K808" s="10">
        <v>8006</v>
      </c>
    </row>
    <row r="809" spans="1:11">
      <c r="A809" s="10">
        <v>5006</v>
      </c>
      <c r="B809" s="10">
        <v>5</v>
      </c>
      <c r="C809" s="10">
        <v>207</v>
      </c>
      <c r="D809" s="29">
        <v>4436.01</v>
      </c>
      <c r="E809" s="29">
        <v>1803.2750000000001</v>
      </c>
      <c r="F809" s="30">
        <v>45504</v>
      </c>
      <c r="G809" s="10">
        <v>0</v>
      </c>
      <c r="H809" s="10">
        <v>0</v>
      </c>
      <c r="I809" s="10">
        <v>0</v>
      </c>
      <c r="J809" t="s">
        <v>54</v>
      </c>
      <c r="K809" s="10">
        <v>8002</v>
      </c>
    </row>
    <row r="810" spans="1:11">
      <c r="A810" s="10">
        <v>5011</v>
      </c>
      <c r="B810" s="10">
        <v>5</v>
      </c>
      <c r="C810" s="10">
        <v>280</v>
      </c>
      <c r="D810" s="29">
        <v>1736</v>
      </c>
      <c r="E810" s="29">
        <v>353.93</v>
      </c>
      <c r="F810" s="30">
        <v>45991</v>
      </c>
      <c r="G810" s="10">
        <v>0</v>
      </c>
      <c r="H810" s="10">
        <v>0</v>
      </c>
      <c r="I810" s="10">
        <v>0</v>
      </c>
      <c r="J810" t="s">
        <v>54</v>
      </c>
      <c r="K810" s="10">
        <v>8009</v>
      </c>
    </row>
    <row r="811" spans="1:11">
      <c r="A811" s="10">
        <v>5006</v>
      </c>
      <c r="B811" s="10">
        <v>1</v>
      </c>
      <c r="C811" s="10">
        <v>135</v>
      </c>
      <c r="D811" s="29">
        <v>3082.05</v>
      </c>
      <c r="E811" s="29">
        <v>1068.953</v>
      </c>
      <c r="F811" s="30">
        <v>45626</v>
      </c>
      <c r="G811" s="10">
        <v>0</v>
      </c>
      <c r="H811" s="10">
        <v>0</v>
      </c>
      <c r="I811" s="10">
        <v>0</v>
      </c>
      <c r="J811" t="s">
        <v>54</v>
      </c>
      <c r="K811" s="10">
        <v>8003</v>
      </c>
    </row>
    <row r="812" spans="1:11">
      <c r="A812" s="10">
        <v>5020</v>
      </c>
      <c r="B812" s="10">
        <v>3</v>
      </c>
      <c r="C812" s="10">
        <v>53</v>
      </c>
      <c r="D812" s="29">
        <v>934.92</v>
      </c>
      <c r="E812" s="29">
        <v>359.10599999999999</v>
      </c>
      <c r="F812" s="30">
        <v>45657</v>
      </c>
      <c r="G812" s="10">
        <v>0</v>
      </c>
      <c r="H812" s="10">
        <v>0</v>
      </c>
      <c r="I812" s="10">
        <v>0</v>
      </c>
      <c r="J812" t="s">
        <v>54</v>
      </c>
      <c r="K812" s="10">
        <v>8006</v>
      </c>
    </row>
    <row r="813" spans="1:11">
      <c r="A813" s="10">
        <v>5004</v>
      </c>
      <c r="B813" s="10">
        <v>1</v>
      </c>
      <c r="C813" s="10">
        <v>253</v>
      </c>
      <c r="D813" s="29">
        <v>3825.36</v>
      </c>
      <c r="E813" s="29">
        <v>893.495</v>
      </c>
      <c r="F813" s="30">
        <v>45930</v>
      </c>
      <c r="G813" s="10">
        <v>0</v>
      </c>
      <c r="H813" s="10">
        <v>0</v>
      </c>
      <c r="I813" s="10">
        <v>0</v>
      </c>
      <c r="J813" t="s">
        <v>54</v>
      </c>
      <c r="K813" s="10">
        <v>8007</v>
      </c>
    </row>
    <row r="814" spans="1:11">
      <c r="A814" s="10">
        <v>5006</v>
      </c>
      <c r="B814" s="10">
        <v>1</v>
      </c>
      <c r="C814" s="10">
        <v>92</v>
      </c>
      <c r="D814" s="29">
        <v>700.12</v>
      </c>
      <c r="E814" s="29">
        <v>277.18099999999998</v>
      </c>
      <c r="F814" s="30">
        <v>45838</v>
      </c>
      <c r="G814" s="10">
        <v>0</v>
      </c>
      <c r="H814" s="10">
        <v>0</v>
      </c>
      <c r="I814" s="10">
        <v>0</v>
      </c>
      <c r="J814" t="s">
        <v>54</v>
      </c>
      <c r="K814" s="10">
        <v>8005</v>
      </c>
    </row>
    <row r="815" spans="1:11">
      <c r="A815" s="10">
        <v>5012</v>
      </c>
      <c r="B815" s="10">
        <v>1</v>
      </c>
      <c r="C815" s="10">
        <v>76</v>
      </c>
      <c r="D815" s="29">
        <v>682.48</v>
      </c>
      <c r="E815" s="29">
        <v>231.07499999999999</v>
      </c>
      <c r="F815" s="30">
        <v>45626</v>
      </c>
      <c r="G815" s="10">
        <v>0</v>
      </c>
      <c r="H815" s="10">
        <v>0</v>
      </c>
      <c r="I815" s="10">
        <v>0</v>
      </c>
      <c r="J815" t="s">
        <v>54</v>
      </c>
      <c r="K815" s="10">
        <v>8006</v>
      </c>
    </row>
    <row r="816" spans="1:11">
      <c r="A816" s="10">
        <v>5012</v>
      </c>
      <c r="B816" s="10">
        <v>1</v>
      </c>
      <c r="C816" s="10">
        <v>52</v>
      </c>
      <c r="D816" s="29">
        <v>161.19999999999999</v>
      </c>
      <c r="E816" s="29">
        <v>35.634999999999998</v>
      </c>
      <c r="F816" s="30">
        <v>45869</v>
      </c>
      <c r="G816" s="10">
        <v>0</v>
      </c>
      <c r="H816" s="10">
        <v>0</v>
      </c>
      <c r="I816" s="10">
        <v>0</v>
      </c>
      <c r="J816" t="s">
        <v>54</v>
      </c>
      <c r="K816" s="10">
        <v>8013</v>
      </c>
    </row>
    <row r="817" spans="1:11">
      <c r="A817" s="10">
        <v>5030</v>
      </c>
      <c r="B817" s="10">
        <v>6</v>
      </c>
      <c r="C817" s="10">
        <v>-123</v>
      </c>
      <c r="D817" s="29">
        <v>-2264.4299999999998</v>
      </c>
      <c r="E817" s="29">
        <v>0</v>
      </c>
      <c r="F817" s="30">
        <v>45991</v>
      </c>
      <c r="G817" s="10">
        <v>1</v>
      </c>
      <c r="H817" s="10">
        <v>1</v>
      </c>
      <c r="I817" s="10">
        <v>0</v>
      </c>
      <c r="J817" t="s">
        <v>2</v>
      </c>
      <c r="K817" s="10">
        <v>8023</v>
      </c>
    </row>
    <row r="818" spans="1:11">
      <c r="A818" s="10">
        <v>5004</v>
      </c>
      <c r="B818" s="10">
        <v>2</v>
      </c>
      <c r="C818" s="10">
        <v>295</v>
      </c>
      <c r="D818" s="29">
        <v>4194.8999999999996</v>
      </c>
      <c r="E818" s="29">
        <v>955.077</v>
      </c>
      <c r="F818" s="30">
        <v>45808</v>
      </c>
      <c r="G818" s="10">
        <v>0</v>
      </c>
      <c r="H818" s="10">
        <v>0</v>
      </c>
      <c r="I818" s="10">
        <v>0</v>
      </c>
      <c r="J818" t="s">
        <v>54</v>
      </c>
      <c r="K818" s="10">
        <v>8005</v>
      </c>
    </row>
    <row r="819" spans="1:11">
      <c r="A819" s="10">
        <v>5022</v>
      </c>
      <c r="B819" s="10">
        <v>1</v>
      </c>
      <c r="C819" s="10">
        <v>98</v>
      </c>
      <c r="D819" s="29">
        <v>1330.84</v>
      </c>
      <c r="E819" s="29">
        <v>253.364</v>
      </c>
      <c r="F819" s="30">
        <v>45688</v>
      </c>
      <c r="G819" s="10">
        <v>0</v>
      </c>
      <c r="H819" s="10">
        <v>0</v>
      </c>
      <c r="I819" s="10">
        <v>0</v>
      </c>
      <c r="J819" t="s">
        <v>54</v>
      </c>
      <c r="K819" s="10">
        <v>8019</v>
      </c>
    </row>
    <row r="820" spans="1:11">
      <c r="A820" s="10">
        <v>5002</v>
      </c>
      <c r="B820" s="10">
        <v>4</v>
      </c>
      <c r="C820" s="10">
        <v>161</v>
      </c>
      <c r="D820" s="29">
        <v>3599.96</v>
      </c>
      <c r="E820" s="29">
        <v>1396.797</v>
      </c>
      <c r="F820" s="30">
        <v>45351</v>
      </c>
      <c r="G820" s="10">
        <v>0</v>
      </c>
      <c r="H820" s="10">
        <v>0</v>
      </c>
      <c r="I820" s="10">
        <v>0</v>
      </c>
      <c r="J820" t="s">
        <v>54</v>
      </c>
      <c r="K820" s="10">
        <v>8019</v>
      </c>
    </row>
    <row r="821" spans="1:11">
      <c r="A821" s="10">
        <v>5014</v>
      </c>
      <c r="B821" s="10">
        <v>1</v>
      </c>
      <c r="C821" s="10">
        <v>270</v>
      </c>
      <c r="D821" s="29">
        <v>2378.6999999999998</v>
      </c>
      <c r="E821" s="29">
        <v>852.89599999999996</v>
      </c>
      <c r="F821" s="30">
        <v>45808</v>
      </c>
      <c r="G821" s="10">
        <v>0</v>
      </c>
      <c r="H821" s="10">
        <v>0</v>
      </c>
      <c r="I821" s="10">
        <v>0</v>
      </c>
      <c r="J821" t="s">
        <v>54</v>
      </c>
      <c r="K821" s="10">
        <v>8003</v>
      </c>
    </row>
    <row r="822" spans="1:11">
      <c r="A822" s="10">
        <v>5018</v>
      </c>
      <c r="B822" s="10">
        <v>4</v>
      </c>
      <c r="C822" s="10">
        <v>31</v>
      </c>
      <c r="D822" s="29">
        <v>158.1</v>
      </c>
      <c r="E822" s="29">
        <v>26.77</v>
      </c>
      <c r="F822" s="30">
        <v>45443</v>
      </c>
      <c r="G822" s="10">
        <v>0</v>
      </c>
      <c r="H822" s="10">
        <v>0</v>
      </c>
      <c r="I822" s="10">
        <v>0</v>
      </c>
      <c r="J822" t="s">
        <v>54</v>
      </c>
      <c r="K822" s="10">
        <v>8010</v>
      </c>
    </row>
    <row r="823" spans="1:11">
      <c r="A823" s="10">
        <v>5012</v>
      </c>
      <c r="B823" s="10">
        <v>6</v>
      </c>
      <c r="C823" s="10">
        <v>174</v>
      </c>
      <c r="D823" s="29">
        <v>471.54</v>
      </c>
      <c r="E823" s="29">
        <v>162.374</v>
      </c>
      <c r="F823" s="30">
        <v>45565</v>
      </c>
      <c r="G823" s="10">
        <v>0</v>
      </c>
      <c r="H823" s="10">
        <v>0</v>
      </c>
      <c r="I823" s="10">
        <v>0</v>
      </c>
      <c r="J823" t="s">
        <v>54</v>
      </c>
      <c r="K823" s="10">
        <v>8006</v>
      </c>
    </row>
    <row r="824" spans="1:11">
      <c r="A824" s="10">
        <v>5008</v>
      </c>
      <c r="B824" s="10">
        <v>5</v>
      </c>
      <c r="C824" s="10">
        <v>40</v>
      </c>
      <c r="D824" s="29">
        <v>155.19999999999999</v>
      </c>
      <c r="E824" s="29">
        <v>32.122</v>
      </c>
      <c r="F824" s="30">
        <v>45688</v>
      </c>
      <c r="G824" s="10">
        <v>0</v>
      </c>
      <c r="H824" s="10">
        <v>0</v>
      </c>
      <c r="I824" s="10">
        <v>0</v>
      </c>
      <c r="J824" t="s">
        <v>54</v>
      </c>
      <c r="K824" s="10">
        <v>8017</v>
      </c>
    </row>
    <row r="825" spans="1:11">
      <c r="A825" s="10">
        <v>5008</v>
      </c>
      <c r="B825" s="10">
        <v>5</v>
      </c>
      <c r="C825" s="10">
        <v>110</v>
      </c>
      <c r="D825" s="29">
        <v>1622.5</v>
      </c>
      <c r="E825" s="29">
        <v>481.5</v>
      </c>
      <c r="F825" s="30">
        <v>45473</v>
      </c>
      <c r="G825" s="10">
        <v>0</v>
      </c>
      <c r="H825" s="10">
        <v>0</v>
      </c>
      <c r="I825" s="10">
        <v>0</v>
      </c>
      <c r="J825" t="s">
        <v>54</v>
      </c>
      <c r="K825" s="10">
        <v>8003</v>
      </c>
    </row>
    <row r="826" spans="1:11">
      <c r="A826" s="10">
        <v>5006</v>
      </c>
      <c r="B826" s="10">
        <v>4</v>
      </c>
      <c r="C826" s="10">
        <v>-143</v>
      </c>
      <c r="D826" s="29">
        <v>-3074.5</v>
      </c>
      <c r="E826" s="29">
        <v>0</v>
      </c>
      <c r="F826" s="30">
        <v>45777</v>
      </c>
      <c r="G826" s="10">
        <v>1</v>
      </c>
      <c r="H826" s="10">
        <v>1</v>
      </c>
      <c r="I826" s="10">
        <v>0</v>
      </c>
      <c r="J826" t="s">
        <v>2</v>
      </c>
      <c r="K826" s="10">
        <v>8001</v>
      </c>
    </row>
    <row r="827" spans="1:11">
      <c r="A827" s="10">
        <v>5005</v>
      </c>
      <c r="B827" s="10">
        <v>6</v>
      </c>
      <c r="C827" s="10">
        <v>-146</v>
      </c>
      <c r="D827" s="29">
        <v>-760.66</v>
      </c>
      <c r="E827" s="29">
        <v>-98.072999999999993</v>
      </c>
      <c r="F827" s="30">
        <v>45838</v>
      </c>
      <c r="G827" s="10">
        <v>1</v>
      </c>
      <c r="H827" s="10">
        <v>1</v>
      </c>
      <c r="I827" s="10">
        <v>0</v>
      </c>
      <c r="J827" t="s">
        <v>2</v>
      </c>
      <c r="K827" s="10">
        <v>8009</v>
      </c>
    </row>
    <row r="828" spans="1:11">
      <c r="A828" s="10">
        <v>5025</v>
      </c>
      <c r="B828" s="10">
        <v>1</v>
      </c>
      <c r="C828" s="10">
        <v>356</v>
      </c>
      <c r="D828" s="29">
        <v>5827.72</v>
      </c>
      <c r="E828" s="29">
        <v>1424.749</v>
      </c>
      <c r="F828" s="30">
        <v>45657</v>
      </c>
      <c r="G828" s="10">
        <v>0</v>
      </c>
      <c r="H828" s="10">
        <v>0</v>
      </c>
      <c r="I828" s="10">
        <v>0</v>
      </c>
      <c r="J828" t="s">
        <v>54</v>
      </c>
      <c r="K828" s="10">
        <v>8009</v>
      </c>
    </row>
    <row r="829" spans="1:11">
      <c r="A829" s="10">
        <v>5013</v>
      </c>
      <c r="B829" s="10">
        <v>2</v>
      </c>
      <c r="C829" s="10">
        <v>70</v>
      </c>
      <c r="D829" s="29">
        <v>201.6</v>
      </c>
      <c r="E829" s="29">
        <v>49.195</v>
      </c>
      <c r="F829" s="30">
        <v>45900</v>
      </c>
      <c r="G829" s="10">
        <v>0</v>
      </c>
      <c r="H829" s="10">
        <v>0</v>
      </c>
      <c r="I829" s="10">
        <v>0</v>
      </c>
      <c r="J829" t="s">
        <v>54</v>
      </c>
      <c r="K829" s="10">
        <v>8025</v>
      </c>
    </row>
    <row r="830" spans="1:11">
      <c r="A830" s="10">
        <v>5001</v>
      </c>
      <c r="B830" s="10">
        <v>2</v>
      </c>
      <c r="C830" s="10">
        <v>106</v>
      </c>
      <c r="D830" s="29">
        <v>609.5</v>
      </c>
      <c r="E830" s="29">
        <v>234.678</v>
      </c>
      <c r="F830" s="30">
        <v>45382</v>
      </c>
      <c r="G830" s="10">
        <v>0</v>
      </c>
      <c r="H830" s="10">
        <v>0</v>
      </c>
      <c r="I830" s="10">
        <v>0</v>
      </c>
      <c r="J830" t="s">
        <v>54</v>
      </c>
      <c r="K830" s="10">
        <v>8025</v>
      </c>
    </row>
    <row r="831" spans="1:11">
      <c r="A831" s="10">
        <v>5018</v>
      </c>
      <c r="B831" s="10">
        <v>4</v>
      </c>
      <c r="C831" s="10">
        <v>70</v>
      </c>
      <c r="D831" s="29">
        <v>1295.7</v>
      </c>
      <c r="E831" s="29">
        <v>247.941</v>
      </c>
      <c r="F831" s="30">
        <v>45412</v>
      </c>
      <c r="G831" s="10">
        <v>0</v>
      </c>
      <c r="H831" s="10">
        <v>0</v>
      </c>
      <c r="I831" s="10">
        <v>0</v>
      </c>
      <c r="J831" t="s">
        <v>54</v>
      </c>
      <c r="K831" s="10">
        <v>8002</v>
      </c>
    </row>
    <row r="832" spans="1:11">
      <c r="A832" s="10">
        <v>5006</v>
      </c>
      <c r="B832" s="10">
        <v>1</v>
      </c>
      <c r="C832" s="10">
        <v>189</v>
      </c>
      <c r="D832" s="29">
        <v>890.19</v>
      </c>
      <c r="E832" s="29">
        <v>335.00900000000001</v>
      </c>
      <c r="F832" s="30">
        <v>45688</v>
      </c>
      <c r="G832" s="10">
        <v>0</v>
      </c>
      <c r="H832" s="10">
        <v>0</v>
      </c>
      <c r="I832" s="10">
        <v>0</v>
      </c>
      <c r="J832" t="s">
        <v>54</v>
      </c>
      <c r="K832" s="10">
        <v>8016</v>
      </c>
    </row>
    <row r="833" spans="1:11">
      <c r="A833" s="10">
        <v>5007</v>
      </c>
      <c r="B833" s="10">
        <v>2</v>
      </c>
      <c r="C833" s="10">
        <v>142</v>
      </c>
      <c r="D833" s="29">
        <v>1588.98</v>
      </c>
      <c r="E833" s="29">
        <v>589.28700000000003</v>
      </c>
      <c r="F833" s="30">
        <v>45716</v>
      </c>
      <c r="G833" s="10">
        <v>0</v>
      </c>
      <c r="H833" s="10">
        <v>0</v>
      </c>
      <c r="I833" s="10">
        <v>0</v>
      </c>
      <c r="J833" t="s">
        <v>54</v>
      </c>
      <c r="K833" s="10">
        <v>8019</v>
      </c>
    </row>
    <row r="834" spans="1:11">
      <c r="A834" s="10">
        <v>5006</v>
      </c>
      <c r="B834" s="10">
        <v>1</v>
      </c>
      <c r="C834" s="10">
        <v>103</v>
      </c>
      <c r="D834" s="29">
        <v>1245.27</v>
      </c>
      <c r="E834" s="29">
        <v>421.42599999999999</v>
      </c>
      <c r="F834" s="30">
        <v>45808</v>
      </c>
      <c r="G834" s="10">
        <v>0</v>
      </c>
      <c r="H834" s="10">
        <v>0</v>
      </c>
      <c r="I834" s="10">
        <v>0</v>
      </c>
      <c r="J834" t="s">
        <v>54</v>
      </c>
      <c r="K834" s="10">
        <v>8005</v>
      </c>
    </row>
    <row r="835" spans="1:11">
      <c r="A835" s="10">
        <v>5008</v>
      </c>
      <c r="B835" s="10">
        <v>2</v>
      </c>
      <c r="C835" s="10">
        <v>84</v>
      </c>
      <c r="D835" s="29">
        <v>966.84</v>
      </c>
      <c r="E835" s="29">
        <v>274.75599999999997</v>
      </c>
      <c r="F835" s="30">
        <v>45473</v>
      </c>
      <c r="G835" s="10">
        <v>0</v>
      </c>
      <c r="H835" s="10">
        <v>0</v>
      </c>
      <c r="I835" s="10">
        <v>0</v>
      </c>
      <c r="J835" t="s">
        <v>54</v>
      </c>
      <c r="K835" s="10">
        <v>8010</v>
      </c>
    </row>
    <row r="836" spans="1:11">
      <c r="A836" s="10">
        <v>5002</v>
      </c>
      <c r="B836" s="10">
        <v>4</v>
      </c>
      <c r="C836" s="10">
        <v>-111</v>
      </c>
      <c r="D836" s="29">
        <v>-927.96</v>
      </c>
      <c r="E836" s="29">
        <v>0</v>
      </c>
      <c r="F836" s="30">
        <v>45443</v>
      </c>
      <c r="G836" s="10">
        <v>1</v>
      </c>
      <c r="H836" s="10">
        <v>1</v>
      </c>
      <c r="I836" s="10">
        <v>0</v>
      </c>
      <c r="J836" t="s">
        <v>2</v>
      </c>
      <c r="K836" s="10">
        <v>8020</v>
      </c>
    </row>
    <row r="837" spans="1:11">
      <c r="A837" s="10">
        <v>5002</v>
      </c>
      <c r="B837" s="10">
        <v>1</v>
      </c>
      <c r="C837" s="10">
        <v>182</v>
      </c>
      <c r="D837" s="29">
        <v>2624.44</v>
      </c>
      <c r="E837" s="29">
        <v>593.81500000000005</v>
      </c>
      <c r="F837" s="30">
        <v>45351</v>
      </c>
      <c r="G837" s="10">
        <v>0</v>
      </c>
      <c r="H837" s="10">
        <v>0</v>
      </c>
      <c r="I837" s="10">
        <v>0</v>
      </c>
      <c r="J837" t="s">
        <v>54</v>
      </c>
      <c r="K837" s="10">
        <v>8005</v>
      </c>
    </row>
    <row r="838" spans="1:11">
      <c r="A838" s="10">
        <v>5008</v>
      </c>
      <c r="B838" s="10">
        <v>3</v>
      </c>
      <c r="C838" s="10">
        <v>58</v>
      </c>
      <c r="D838" s="29">
        <v>339.3</v>
      </c>
      <c r="E838" s="29">
        <v>61.636000000000003</v>
      </c>
      <c r="F838" s="30">
        <v>45382</v>
      </c>
      <c r="G838" s="10">
        <v>0</v>
      </c>
      <c r="H838" s="10">
        <v>0</v>
      </c>
      <c r="I838" s="10">
        <v>0</v>
      </c>
      <c r="J838" t="s">
        <v>54</v>
      </c>
      <c r="K838" s="10">
        <v>8002</v>
      </c>
    </row>
    <row r="839" spans="1:11">
      <c r="A839" s="10">
        <v>5004</v>
      </c>
      <c r="B839" s="10">
        <v>2</v>
      </c>
      <c r="C839" s="10">
        <v>212</v>
      </c>
      <c r="D839" s="29">
        <v>3317.8</v>
      </c>
      <c r="E839" s="29">
        <v>1364.7670000000001</v>
      </c>
      <c r="F839" s="30">
        <v>45991</v>
      </c>
      <c r="G839" s="10">
        <v>0</v>
      </c>
      <c r="H839" s="10">
        <v>0</v>
      </c>
      <c r="I839" s="10">
        <v>0</v>
      </c>
      <c r="J839" t="s">
        <v>54</v>
      </c>
      <c r="K839" s="10">
        <v>8009</v>
      </c>
    </row>
    <row r="840" spans="1:11">
      <c r="A840" s="10">
        <v>5003</v>
      </c>
      <c r="B840" s="10">
        <v>4</v>
      </c>
      <c r="C840" s="10">
        <v>159</v>
      </c>
      <c r="D840" s="29">
        <v>3362.85</v>
      </c>
      <c r="E840" s="29">
        <v>1005.283</v>
      </c>
      <c r="F840" s="30">
        <v>45991</v>
      </c>
      <c r="G840" s="10">
        <v>0</v>
      </c>
      <c r="H840" s="10">
        <v>0</v>
      </c>
      <c r="I840" s="10">
        <v>0</v>
      </c>
      <c r="J840" t="s">
        <v>54</v>
      </c>
      <c r="K840" s="10">
        <v>8002</v>
      </c>
    </row>
    <row r="841" spans="1:11">
      <c r="A841" s="10">
        <v>5002</v>
      </c>
      <c r="B841" s="10">
        <v>2</v>
      </c>
      <c r="C841" s="10">
        <v>176</v>
      </c>
      <c r="D841" s="29">
        <v>3711.84</v>
      </c>
      <c r="E841" s="29">
        <v>1174.7629999999999</v>
      </c>
      <c r="F841" s="30">
        <v>45322</v>
      </c>
      <c r="G841" s="10">
        <v>0</v>
      </c>
      <c r="H841" s="10">
        <v>0</v>
      </c>
      <c r="I841" s="10">
        <v>0</v>
      </c>
      <c r="J841" t="s">
        <v>54</v>
      </c>
      <c r="K841" s="10">
        <v>8002</v>
      </c>
    </row>
    <row r="842" spans="1:11">
      <c r="A842" s="10">
        <v>5010</v>
      </c>
      <c r="B842" s="10">
        <v>2</v>
      </c>
      <c r="C842" s="10">
        <v>170</v>
      </c>
      <c r="D842" s="29">
        <v>2910.4</v>
      </c>
      <c r="E842" s="29">
        <v>694.68600000000004</v>
      </c>
      <c r="F842" s="30">
        <v>45688</v>
      </c>
      <c r="G842" s="10">
        <v>0</v>
      </c>
      <c r="H842" s="10">
        <v>0</v>
      </c>
      <c r="I842" s="10">
        <v>0</v>
      </c>
      <c r="J842" t="s">
        <v>54</v>
      </c>
      <c r="K842" s="10">
        <v>8027</v>
      </c>
    </row>
    <row r="843" spans="1:11">
      <c r="A843" s="10">
        <v>5001</v>
      </c>
      <c r="B843" s="10">
        <v>1</v>
      </c>
      <c r="C843" s="10">
        <v>324</v>
      </c>
      <c r="D843" s="29">
        <v>6761.88</v>
      </c>
      <c r="E843" s="29">
        <v>2222.2379999999998</v>
      </c>
      <c r="F843" s="30">
        <v>45443</v>
      </c>
      <c r="G843" s="10">
        <v>0</v>
      </c>
      <c r="H843" s="10">
        <v>0</v>
      </c>
      <c r="I843" s="10">
        <v>0</v>
      </c>
      <c r="J843" t="s">
        <v>54</v>
      </c>
      <c r="K843" s="10">
        <v>8002</v>
      </c>
    </row>
    <row r="844" spans="1:11">
      <c r="A844" s="10">
        <v>5006</v>
      </c>
      <c r="B844" s="10">
        <v>4</v>
      </c>
      <c r="C844" s="10">
        <v>55</v>
      </c>
      <c r="D844" s="29">
        <v>466.4</v>
      </c>
      <c r="E844" s="29">
        <v>132.102</v>
      </c>
      <c r="F844" s="30">
        <v>45838</v>
      </c>
      <c r="G844" s="10">
        <v>0</v>
      </c>
      <c r="H844" s="10">
        <v>0</v>
      </c>
      <c r="I844" s="10">
        <v>0</v>
      </c>
      <c r="J844" t="s">
        <v>54</v>
      </c>
      <c r="K844" s="10">
        <v>8009</v>
      </c>
    </row>
    <row r="845" spans="1:11">
      <c r="A845" s="10">
        <v>5003</v>
      </c>
      <c r="B845" s="10">
        <v>3</v>
      </c>
      <c r="C845" s="10">
        <v>265</v>
      </c>
      <c r="D845" s="29">
        <v>3251.55</v>
      </c>
      <c r="E845" s="29">
        <v>1015</v>
      </c>
      <c r="F845" s="30">
        <v>45322</v>
      </c>
      <c r="G845" s="10">
        <v>0</v>
      </c>
      <c r="H845" s="10">
        <v>0</v>
      </c>
      <c r="I845" s="10">
        <v>0</v>
      </c>
      <c r="J845" t="s">
        <v>54</v>
      </c>
      <c r="K845" s="10">
        <v>8002</v>
      </c>
    </row>
    <row r="846" spans="1:11">
      <c r="A846" s="10">
        <v>5009</v>
      </c>
      <c r="B846" s="10">
        <v>1</v>
      </c>
      <c r="C846" s="10">
        <v>19</v>
      </c>
      <c r="D846" s="29">
        <v>300.2</v>
      </c>
      <c r="E846" s="29">
        <v>124.483</v>
      </c>
      <c r="F846" s="30">
        <v>45504</v>
      </c>
      <c r="G846" s="10">
        <v>0</v>
      </c>
      <c r="H846" s="10">
        <v>0</v>
      </c>
      <c r="I846" s="10">
        <v>0</v>
      </c>
      <c r="J846" t="s">
        <v>54</v>
      </c>
      <c r="K846" s="10">
        <v>8017</v>
      </c>
    </row>
    <row r="847" spans="1:11">
      <c r="A847" s="10">
        <v>5013</v>
      </c>
      <c r="B847" s="10">
        <v>2</v>
      </c>
      <c r="C847" s="10">
        <v>105</v>
      </c>
      <c r="D847" s="29">
        <v>1325.1</v>
      </c>
      <c r="E847" s="29">
        <v>415.64400000000001</v>
      </c>
      <c r="F847" s="30">
        <v>45991</v>
      </c>
      <c r="G847" s="10">
        <v>0</v>
      </c>
      <c r="H847" s="10">
        <v>0</v>
      </c>
      <c r="I847" s="10">
        <v>0</v>
      </c>
      <c r="J847" t="s">
        <v>54</v>
      </c>
      <c r="K847" s="10">
        <v>8009</v>
      </c>
    </row>
    <row r="848" spans="1:11">
      <c r="A848" s="10">
        <v>5011</v>
      </c>
      <c r="B848" s="10">
        <v>2</v>
      </c>
      <c r="C848" s="10">
        <v>182</v>
      </c>
      <c r="D848" s="29">
        <v>2462.46</v>
      </c>
      <c r="E848" s="29">
        <v>596.21299999999997</v>
      </c>
      <c r="F848" s="30">
        <v>45808</v>
      </c>
      <c r="G848" s="10">
        <v>0</v>
      </c>
      <c r="H848" s="10">
        <v>0</v>
      </c>
      <c r="I848" s="10">
        <v>0</v>
      </c>
      <c r="J848" t="s">
        <v>54</v>
      </c>
      <c r="K848" s="10">
        <v>8016</v>
      </c>
    </row>
    <row r="849" spans="1:11">
      <c r="A849" s="10">
        <v>5019</v>
      </c>
      <c r="B849" s="10">
        <v>2</v>
      </c>
      <c r="C849" s="10">
        <v>126</v>
      </c>
      <c r="D849" s="29">
        <v>2853.9</v>
      </c>
      <c r="E849" s="29">
        <v>974.18899999999996</v>
      </c>
      <c r="F849" s="30">
        <v>45382</v>
      </c>
      <c r="G849" s="10">
        <v>0</v>
      </c>
      <c r="H849" s="10">
        <v>0</v>
      </c>
      <c r="I849" s="10">
        <v>0</v>
      </c>
      <c r="J849" t="s">
        <v>54</v>
      </c>
      <c r="K849" s="10">
        <v>8005</v>
      </c>
    </row>
    <row r="850" spans="1:11">
      <c r="A850" s="10">
        <v>5004</v>
      </c>
      <c r="B850" s="10">
        <v>2</v>
      </c>
      <c r="C850" s="10">
        <v>74</v>
      </c>
      <c r="D850" s="29">
        <v>494.32</v>
      </c>
      <c r="E850" s="29">
        <v>122.68</v>
      </c>
      <c r="F850" s="30">
        <v>45322</v>
      </c>
      <c r="G850" s="10">
        <v>0</v>
      </c>
      <c r="H850" s="10">
        <v>0</v>
      </c>
      <c r="I850" s="10">
        <v>0</v>
      </c>
      <c r="J850" t="s">
        <v>54</v>
      </c>
      <c r="K850" s="10">
        <v>8002</v>
      </c>
    </row>
    <row r="851" spans="1:11">
      <c r="A851" s="10">
        <v>5017</v>
      </c>
      <c r="B851" s="10">
        <v>1</v>
      </c>
      <c r="C851" s="10">
        <v>93</v>
      </c>
      <c r="D851" s="29">
        <v>1635.87</v>
      </c>
      <c r="E851" s="29">
        <v>616.07000000000005</v>
      </c>
      <c r="F851" s="30">
        <v>45777</v>
      </c>
      <c r="G851" s="10">
        <v>0</v>
      </c>
      <c r="H851" s="10">
        <v>0</v>
      </c>
      <c r="I851" s="10">
        <v>0</v>
      </c>
      <c r="J851" t="s">
        <v>54</v>
      </c>
      <c r="K851" s="10">
        <v>8010</v>
      </c>
    </row>
    <row r="852" spans="1:11">
      <c r="A852" s="10">
        <v>5013</v>
      </c>
      <c r="B852" s="10">
        <v>4</v>
      </c>
      <c r="C852" s="10">
        <v>190</v>
      </c>
      <c r="D852" s="29">
        <v>2964</v>
      </c>
      <c r="E852" s="29">
        <v>1051.645</v>
      </c>
      <c r="F852" s="30">
        <v>45838</v>
      </c>
      <c r="G852" s="10">
        <v>0</v>
      </c>
      <c r="H852" s="10">
        <v>0</v>
      </c>
      <c r="I852" s="10">
        <v>0</v>
      </c>
      <c r="J852" t="s">
        <v>54</v>
      </c>
      <c r="K852" s="10">
        <v>8015</v>
      </c>
    </row>
    <row r="853" spans="1:11">
      <c r="A853" s="10">
        <v>5002</v>
      </c>
      <c r="B853" s="10">
        <v>3</v>
      </c>
      <c r="C853" s="10">
        <v>45</v>
      </c>
      <c r="D853" s="29">
        <v>496.35</v>
      </c>
      <c r="E853" s="29">
        <v>118.60299999999999</v>
      </c>
      <c r="F853" s="30">
        <v>45838</v>
      </c>
      <c r="G853" s="10">
        <v>0</v>
      </c>
      <c r="H853" s="10">
        <v>0</v>
      </c>
      <c r="I853" s="10">
        <v>0</v>
      </c>
      <c r="J853" t="s">
        <v>54</v>
      </c>
      <c r="K853" s="10">
        <v>8003</v>
      </c>
    </row>
    <row r="854" spans="1:11">
      <c r="A854" s="10">
        <v>5001</v>
      </c>
      <c r="B854" s="10">
        <v>5</v>
      </c>
      <c r="C854" s="10">
        <v>72</v>
      </c>
      <c r="D854" s="29">
        <v>383.04</v>
      </c>
      <c r="E854" s="29">
        <v>150.36600000000001</v>
      </c>
      <c r="F854" s="30">
        <v>45504</v>
      </c>
      <c r="G854" s="10">
        <v>0</v>
      </c>
      <c r="H854" s="10">
        <v>0</v>
      </c>
      <c r="I854" s="10">
        <v>0</v>
      </c>
      <c r="J854" t="s">
        <v>54</v>
      </c>
      <c r="K854" s="10">
        <v>8001</v>
      </c>
    </row>
    <row r="855" spans="1:11">
      <c r="A855" s="10">
        <v>5001</v>
      </c>
      <c r="B855" s="10">
        <v>3</v>
      </c>
      <c r="C855" s="10">
        <v>49</v>
      </c>
      <c r="D855" s="29">
        <v>331.73</v>
      </c>
      <c r="E855" s="29">
        <v>82.43</v>
      </c>
      <c r="F855" s="30">
        <v>45351</v>
      </c>
      <c r="G855" s="10">
        <v>0</v>
      </c>
      <c r="H855" s="10">
        <v>0</v>
      </c>
      <c r="I855" s="10">
        <v>0</v>
      </c>
      <c r="J855" t="s">
        <v>54</v>
      </c>
      <c r="K855" s="10">
        <v>8005</v>
      </c>
    </row>
    <row r="856" spans="1:11">
      <c r="A856" s="10">
        <v>5001</v>
      </c>
      <c r="B856" s="10">
        <v>1</v>
      </c>
      <c r="C856" s="10">
        <v>81</v>
      </c>
      <c r="D856" s="29">
        <v>1386.72</v>
      </c>
      <c r="E856" s="29">
        <v>463.25599999999997</v>
      </c>
      <c r="F856" s="30">
        <v>45626</v>
      </c>
      <c r="G856" s="10">
        <v>0</v>
      </c>
      <c r="H856" s="10">
        <v>0</v>
      </c>
      <c r="I856" s="10">
        <v>0</v>
      </c>
      <c r="J856" t="s">
        <v>54</v>
      </c>
      <c r="K856" s="10">
        <v>8019</v>
      </c>
    </row>
    <row r="857" spans="1:11">
      <c r="A857" s="10">
        <v>5021</v>
      </c>
      <c r="B857" s="10">
        <v>2</v>
      </c>
      <c r="C857" s="10">
        <v>226</v>
      </c>
      <c r="D857" s="29">
        <v>962.76</v>
      </c>
      <c r="E857" s="29">
        <v>306.87900000000002</v>
      </c>
      <c r="F857" s="30">
        <v>45869</v>
      </c>
      <c r="G857" s="10">
        <v>0</v>
      </c>
      <c r="H857" s="10">
        <v>0</v>
      </c>
      <c r="I857" s="10">
        <v>0</v>
      </c>
      <c r="J857" t="s">
        <v>54</v>
      </c>
      <c r="K857" s="10">
        <v>8006</v>
      </c>
    </row>
    <row r="858" spans="1:11">
      <c r="A858" s="10">
        <v>5024</v>
      </c>
      <c r="B858" s="10">
        <v>1</v>
      </c>
      <c r="C858" s="10">
        <v>55</v>
      </c>
      <c r="D858" s="29">
        <v>867.9</v>
      </c>
      <c r="E858" s="29">
        <v>344.43200000000002</v>
      </c>
      <c r="F858" s="30">
        <v>45930</v>
      </c>
      <c r="G858" s="10">
        <v>0</v>
      </c>
      <c r="H858" s="10">
        <v>0</v>
      </c>
      <c r="I858" s="10">
        <v>0</v>
      </c>
      <c r="J858" t="s">
        <v>54</v>
      </c>
      <c r="K858" s="10">
        <v>8017</v>
      </c>
    </row>
    <row r="859" spans="1:11">
      <c r="A859" s="10">
        <v>5004</v>
      </c>
      <c r="B859" s="10">
        <v>2</v>
      </c>
      <c r="C859" s="10">
        <v>188</v>
      </c>
      <c r="D859" s="29">
        <v>752</v>
      </c>
      <c r="E859" s="29">
        <v>185.74199999999999</v>
      </c>
      <c r="F859" s="30">
        <v>45473</v>
      </c>
      <c r="G859" s="10">
        <v>0</v>
      </c>
      <c r="H859" s="10">
        <v>0</v>
      </c>
      <c r="I859" s="10">
        <v>0</v>
      </c>
      <c r="J859" t="s">
        <v>54</v>
      </c>
      <c r="K859" s="10">
        <v>8006</v>
      </c>
    </row>
    <row r="860" spans="1:11">
      <c r="A860" s="10">
        <v>5017</v>
      </c>
      <c r="B860" s="10">
        <v>2</v>
      </c>
      <c r="C860" s="10">
        <v>199</v>
      </c>
      <c r="D860" s="29">
        <v>1442.75</v>
      </c>
      <c r="E860" s="29">
        <v>358.87400000000002</v>
      </c>
      <c r="F860" s="30">
        <v>45443</v>
      </c>
      <c r="G860" s="10">
        <v>0</v>
      </c>
      <c r="H860" s="10">
        <v>0</v>
      </c>
      <c r="I860" s="10">
        <v>0</v>
      </c>
      <c r="J860" t="s">
        <v>54</v>
      </c>
      <c r="K860" s="10">
        <v>8006</v>
      </c>
    </row>
    <row r="861" spans="1:11">
      <c r="A861" s="10">
        <v>5002</v>
      </c>
      <c r="B861" s="10">
        <v>4</v>
      </c>
      <c r="C861" s="10">
        <v>82</v>
      </c>
      <c r="D861" s="29">
        <v>1357.92</v>
      </c>
      <c r="E861" s="29">
        <v>483.3</v>
      </c>
      <c r="F861" s="30">
        <v>45688</v>
      </c>
      <c r="G861" s="10">
        <v>0</v>
      </c>
      <c r="H861" s="10">
        <v>0</v>
      </c>
      <c r="I861" s="10">
        <v>0</v>
      </c>
      <c r="J861" t="s">
        <v>54</v>
      </c>
      <c r="K861" s="10">
        <v>8004</v>
      </c>
    </row>
    <row r="862" spans="1:11">
      <c r="A862" s="10">
        <v>5003</v>
      </c>
      <c r="B862" s="10">
        <v>2</v>
      </c>
      <c r="C862" s="10">
        <v>135</v>
      </c>
      <c r="D862" s="29">
        <v>1617.3</v>
      </c>
      <c r="E862" s="29">
        <v>592.899</v>
      </c>
      <c r="F862" s="30">
        <v>45626</v>
      </c>
      <c r="G862" s="10">
        <v>0</v>
      </c>
      <c r="H862" s="10">
        <v>0</v>
      </c>
      <c r="I862" s="10">
        <v>0</v>
      </c>
      <c r="J862" t="s">
        <v>54</v>
      </c>
      <c r="K862" s="10">
        <v>8016</v>
      </c>
    </row>
    <row r="863" spans="1:11">
      <c r="A863" s="10">
        <v>5001</v>
      </c>
      <c r="B863" s="10">
        <v>1</v>
      </c>
      <c r="C863" s="10">
        <v>-289</v>
      </c>
      <c r="D863" s="29">
        <v>-6574.75</v>
      </c>
      <c r="E863" s="29">
        <v>0</v>
      </c>
      <c r="F863" s="30">
        <v>45626</v>
      </c>
      <c r="G863" s="10">
        <v>1</v>
      </c>
      <c r="H863" s="10">
        <v>1</v>
      </c>
      <c r="I863" s="10">
        <v>0</v>
      </c>
      <c r="J863" t="s">
        <v>2</v>
      </c>
      <c r="K863" s="10">
        <v>8002</v>
      </c>
    </row>
    <row r="864" spans="1:11">
      <c r="A864" s="10">
        <v>5003</v>
      </c>
      <c r="B864" s="10">
        <v>4</v>
      </c>
      <c r="C864" s="10">
        <v>153</v>
      </c>
      <c r="D864" s="29">
        <v>2454.12</v>
      </c>
      <c r="E864" s="29">
        <v>429.54599999999999</v>
      </c>
      <c r="F864" s="30">
        <v>46022</v>
      </c>
      <c r="G864" s="10">
        <v>0</v>
      </c>
      <c r="H864" s="10">
        <v>0</v>
      </c>
      <c r="I864" s="10">
        <v>0</v>
      </c>
      <c r="J864" t="s">
        <v>54</v>
      </c>
      <c r="K864" s="10">
        <v>8001</v>
      </c>
    </row>
    <row r="865" spans="1:11">
      <c r="A865" s="10">
        <v>5012</v>
      </c>
      <c r="B865" s="10">
        <v>2</v>
      </c>
      <c r="C865" s="10">
        <v>85</v>
      </c>
      <c r="D865" s="29">
        <v>911.2</v>
      </c>
      <c r="E865" s="29">
        <v>276.94900000000001</v>
      </c>
      <c r="F865" s="30">
        <v>45808</v>
      </c>
      <c r="G865" s="10">
        <v>0</v>
      </c>
      <c r="H865" s="10">
        <v>0</v>
      </c>
      <c r="I865" s="10">
        <v>0</v>
      </c>
      <c r="J865" t="s">
        <v>54</v>
      </c>
      <c r="K865" s="10">
        <v>8010</v>
      </c>
    </row>
    <row r="866" spans="1:11">
      <c r="A866" s="10">
        <v>5013</v>
      </c>
      <c r="B866" s="10">
        <v>1</v>
      </c>
      <c r="C866" s="10">
        <v>99</v>
      </c>
      <c r="D866" s="29">
        <v>1338.48</v>
      </c>
      <c r="E866" s="29">
        <v>457.863</v>
      </c>
      <c r="F866" s="30">
        <v>45596</v>
      </c>
      <c r="G866" s="10">
        <v>0</v>
      </c>
      <c r="H866" s="10">
        <v>0</v>
      </c>
      <c r="I866" s="10">
        <v>0</v>
      </c>
      <c r="J866" t="s">
        <v>54</v>
      </c>
      <c r="K866" s="10">
        <v>8020</v>
      </c>
    </row>
    <row r="867" spans="1:11">
      <c r="A867" s="10">
        <v>5003</v>
      </c>
      <c r="B867" s="10">
        <v>4</v>
      </c>
      <c r="C867" s="10">
        <v>151</v>
      </c>
      <c r="D867" s="29">
        <v>2609.2800000000002</v>
      </c>
      <c r="E867" s="29">
        <v>947.70699999999999</v>
      </c>
      <c r="F867" s="30">
        <v>45657</v>
      </c>
      <c r="G867" s="10">
        <v>0</v>
      </c>
      <c r="H867" s="10">
        <v>0</v>
      </c>
      <c r="I867" s="10">
        <v>0</v>
      </c>
      <c r="J867" t="s">
        <v>54</v>
      </c>
      <c r="K867" s="10">
        <v>8008</v>
      </c>
    </row>
    <row r="868" spans="1:11">
      <c r="A868" s="10">
        <v>5003</v>
      </c>
      <c r="B868" s="10">
        <v>1</v>
      </c>
      <c r="C868" s="10">
        <v>126</v>
      </c>
      <c r="D868" s="29">
        <v>2255.4</v>
      </c>
      <c r="E868" s="29">
        <v>434.75400000000002</v>
      </c>
      <c r="F868" s="30">
        <v>45626</v>
      </c>
      <c r="G868" s="10">
        <v>0</v>
      </c>
      <c r="H868" s="10">
        <v>0</v>
      </c>
      <c r="I868" s="10">
        <v>0</v>
      </c>
      <c r="J868" t="s">
        <v>54</v>
      </c>
      <c r="K868" s="10">
        <v>8004</v>
      </c>
    </row>
    <row r="869" spans="1:11">
      <c r="A869" s="10">
        <v>5004</v>
      </c>
      <c r="B869" s="10">
        <v>2</v>
      </c>
      <c r="C869" s="10">
        <v>145</v>
      </c>
      <c r="D869" s="29">
        <v>2698.45</v>
      </c>
      <c r="E869" s="29">
        <v>451.32</v>
      </c>
      <c r="F869" s="30">
        <v>46022</v>
      </c>
      <c r="G869" s="10">
        <v>0</v>
      </c>
      <c r="H869" s="10">
        <v>0</v>
      </c>
      <c r="I869" s="10">
        <v>0</v>
      </c>
      <c r="J869" t="s">
        <v>54</v>
      </c>
      <c r="K869" s="10">
        <v>8001</v>
      </c>
    </row>
    <row r="870" spans="1:11">
      <c r="A870" s="10">
        <v>5010</v>
      </c>
      <c r="B870" s="10">
        <v>4</v>
      </c>
      <c r="C870" s="10">
        <v>155</v>
      </c>
      <c r="D870" s="29">
        <v>3675.05</v>
      </c>
      <c r="E870" s="29">
        <v>645.28700000000003</v>
      </c>
      <c r="F870" s="30">
        <v>45930</v>
      </c>
      <c r="G870" s="10">
        <v>0</v>
      </c>
      <c r="H870" s="10">
        <v>0</v>
      </c>
      <c r="I870" s="10">
        <v>0</v>
      </c>
      <c r="J870" t="s">
        <v>54</v>
      </c>
      <c r="K870" s="10">
        <v>8003</v>
      </c>
    </row>
    <row r="871" spans="1:11">
      <c r="A871" s="10">
        <v>5010</v>
      </c>
      <c r="B871" s="10">
        <v>1</v>
      </c>
      <c r="C871" s="10">
        <v>224</v>
      </c>
      <c r="D871" s="29">
        <v>1023.68</v>
      </c>
      <c r="E871" s="29">
        <v>359.90899999999999</v>
      </c>
      <c r="F871" s="30">
        <v>45626</v>
      </c>
      <c r="G871" s="10">
        <v>0</v>
      </c>
      <c r="H871" s="10">
        <v>0</v>
      </c>
      <c r="I871" s="10">
        <v>0</v>
      </c>
      <c r="J871" t="s">
        <v>54</v>
      </c>
      <c r="K871" s="10">
        <v>8004</v>
      </c>
    </row>
    <row r="872" spans="1:11">
      <c r="A872" s="10">
        <v>5028</v>
      </c>
      <c r="B872" s="10">
        <v>6</v>
      </c>
      <c r="C872" s="10">
        <v>103</v>
      </c>
      <c r="D872" s="29">
        <v>2229.9499999999998</v>
      </c>
      <c r="E872" s="29">
        <v>665.98599999999999</v>
      </c>
      <c r="F872" s="30">
        <v>45657</v>
      </c>
      <c r="G872" s="10">
        <v>0</v>
      </c>
      <c r="H872" s="10">
        <v>0</v>
      </c>
      <c r="I872" s="10">
        <v>0</v>
      </c>
      <c r="J872" t="s">
        <v>54</v>
      </c>
      <c r="K872" s="10">
        <v>8016</v>
      </c>
    </row>
    <row r="873" spans="1:11">
      <c r="A873" s="10">
        <v>5005</v>
      </c>
      <c r="B873" s="10">
        <v>4</v>
      </c>
      <c r="C873" s="10">
        <v>152</v>
      </c>
      <c r="D873" s="29">
        <v>2542.96</v>
      </c>
      <c r="E873" s="29">
        <v>750.46100000000001</v>
      </c>
      <c r="F873" s="30">
        <v>45777</v>
      </c>
      <c r="G873" s="10">
        <v>0</v>
      </c>
      <c r="H873" s="10">
        <v>0</v>
      </c>
      <c r="I873" s="10">
        <v>0</v>
      </c>
      <c r="J873" t="s">
        <v>54</v>
      </c>
      <c r="K873" s="10">
        <v>8003</v>
      </c>
    </row>
    <row r="874" spans="1:11">
      <c r="A874" s="10">
        <v>5005</v>
      </c>
      <c r="B874" s="10">
        <v>4</v>
      </c>
      <c r="C874" s="10">
        <v>82</v>
      </c>
      <c r="D874" s="29">
        <v>326.36</v>
      </c>
      <c r="E874" s="29">
        <v>122.514</v>
      </c>
      <c r="F874" s="30">
        <v>45535</v>
      </c>
      <c r="G874" s="10">
        <v>0</v>
      </c>
      <c r="H874" s="10">
        <v>0</v>
      </c>
      <c r="I874" s="10">
        <v>0</v>
      </c>
      <c r="J874" t="s">
        <v>54</v>
      </c>
      <c r="K874" s="10">
        <v>8009</v>
      </c>
    </row>
    <row r="875" spans="1:11">
      <c r="A875" s="10">
        <v>5001</v>
      </c>
      <c r="B875" s="10">
        <v>2</v>
      </c>
      <c r="C875" s="10">
        <v>115</v>
      </c>
      <c r="D875" s="29">
        <v>1150</v>
      </c>
      <c r="E875" s="29">
        <v>359.88400000000001</v>
      </c>
      <c r="F875" s="30">
        <v>45382</v>
      </c>
      <c r="G875" s="10">
        <v>0</v>
      </c>
      <c r="H875" s="10">
        <v>0</v>
      </c>
      <c r="I875" s="10">
        <v>0</v>
      </c>
      <c r="J875" t="s">
        <v>54</v>
      </c>
      <c r="K875" s="10">
        <v>8019</v>
      </c>
    </row>
    <row r="876" spans="1:11">
      <c r="A876" s="10">
        <v>5005</v>
      </c>
      <c r="B876" s="10">
        <v>2</v>
      </c>
      <c r="C876" s="10">
        <v>111</v>
      </c>
      <c r="D876" s="29">
        <v>1284.27</v>
      </c>
      <c r="E876" s="29">
        <v>368.94600000000003</v>
      </c>
      <c r="F876" s="30">
        <v>45716</v>
      </c>
      <c r="G876" s="10">
        <v>0</v>
      </c>
      <c r="H876" s="10">
        <v>0</v>
      </c>
      <c r="I876" s="10">
        <v>0</v>
      </c>
      <c r="J876" t="s">
        <v>54</v>
      </c>
      <c r="K876" s="10">
        <v>8003</v>
      </c>
    </row>
    <row r="877" spans="1:11">
      <c r="A877" s="10">
        <v>5016</v>
      </c>
      <c r="B877" s="10">
        <v>1</v>
      </c>
      <c r="C877" s="10">
        <v>217</v>
      </c>
      <c r="D877" s="29">
        <v>1013.39</v>
      </c>
      <c r="E877" s="29">
        <v>389.59800000000001</v>
      </c>
      <c r="F877" s="30">
        <v>46022</v>
      </c>
      <c r="G877" s="10">
        <v>0</v>
      </c>
      <c r="H877" s="10">
        <v>0</v>
      </c>
      <c r="I877" s="10">
        <v>0</v>
      </c>
      <c r="J877" t="s">
        <v>54</v>
      </c>
      <c r="K877" s="10">
        <v>8002</v>
      </c>
    </row>
    <row r="878" spans="1:11">
      <c r="A878" s="10">
        <v>5003</v>
      </c>
      <c r="B878" s="10">
        <v>4</v>
      </c>
      <c r="C878" s="10">
        <v>232</v>
      </c>
      <c r="D878" s="29">
        <v>2320</v>
      </c>
      <c r="E878" s="29">
        <v>734.08500000000004</v>
      </c>
      <c r="F878" s="30">
        <v>45443</v>
      </c>
      <c r="G878" s="10">
        <v>0</v>
      </c>
      <c r="H878" s="10">
        <v>0</v>
      </c>
      <c r="I878" s="10">
        <v>0</v>
      </c>
      <c r="J878" t="s">
        <v>54</v>
      </c>
      <c r="K878" s="10">
        <v>8006</v>
      </c>
    </row>
    <row r="879" spans="1:11">
      <c r="A879" s="10">
        <v>5002</v>
      </c>
      <c r="B879" s="10">
        <v>1</v>
      </c>
      <c r="C879" s="10">
        <v>81</v>
      </c>
      <c r="D879" s="29">
        <v>814.05</v>
      </c>
      <c r="E879" s="29">
        <v>194.434</v>
      </c>
      <c r="F879" s="30">
        <v>45626</v>
      </c>
      <c r="G879" s="10">
        <v>0</v>
      </c>
      <c r="H879" s="10">
        <v>0</v>
      </c>
      <c r="I879" s="10">
        <v>0</v>
      </c>
      <c r="J879" t="s">
        <v>54</v>
      </c>
      <c r="K879" s="10">
        <v>8008</v>
      </c>
    </row>
    <row r="880" spans="1:11">
      <c r="A880" s="10">
        <v>5015</v>
      </c>
      <c r="B880" s="10">
        <v>3</v>
      </c>
      <c r="C880" s="10">
        <v>33</v>
      </c>
      <c r="D880" s="29">
        <v>714.45</v>
      </c>
      <c r="E880" s="29">
        <v>154.358</v>
      </c>
      <c r="F880" s="30">
        <v>45688</v>
      </c>
      <c r="G880" s="10">
        <v>0</v>
      </c>
      <c r="H880" s="10">
        <v>0</v>
      </c>
      <c r="I880" s="10">
        <v>0</v>
      </c>
      <c r="J880" t="s">
        <v>54</v>
      </c>
      <c r="K880" s="10">
        <v>8002</v>
      </c>
    </row>
    <row r="881" spans="1:11">
      <c r="A881" s="10">
        <v>5007</v>
      </c>
      <c r="B881" s="10">
        <v>2</v>
      </c>
      <c r="C881" s="10">
        <v>261</v>
      </c>
      <c r="D881" s="29">
        <v>2889.27</v>
      </c>
      <c r="E881" s="29">
        <v>887.29100000000005</v>
      </c>
      <c r="F881" s="30">
        <v>45961</v>
      </c>
      <c r="G881" s="10">
        <v>0</v>
      </c>
      <c r="H881" s="10">
        <v>0</v>
      </c>
      <c r="I881" s="10">
        <v>0</v>
      </c>
      <c r="J881" t="s">
        <v>54</v>
      </c>
      <c r="K881" s="10">
        <v>8002</v>
      </c>
    </row>
    <row r="882" spans="1:11">
      <c r="A882" s="10">
        <v>5015</v>
      </c>
      <c r="B882" s="10">
        <v>3</v>
      </c>
      <c r="C882" s="10">
        <v>173</v>
      </c>
      <c r="D882" s="29">
        <v>3238.56</v>
      </c>
      <c r="E882" s="29">
        <v>906.29</v>
      </c>
      <c r="F882" s="30">
        <v>45991</v>
      </c>
      <c r="G882" s="10">
        <v>0</v>
      </c>
      <c r="H882" s="10">
        <v>0</v>
      </c>
      <c r="I882" s="10">
        <v>0</v>
      </c>
      <c r="J882" t="s">
        <v>54</v>
      </c>
      <c r="K882" s="10">
        <v>8006</v>
      </c>
    </row>
    <row r="883" spans="1:11">
      <c r="A883" s="10">
        <v>5007</v>
      </c>
      <c r="B883" s="10">
        <v>1</v>
      </c>
      <c r="C883" s="10">
        <v>252</v>
      </c>
      <c r="D883" s="29">
        <v>4170.6000000000004</v>
      </c>
      <c r="E883" s="29">
        <v>919.75800000000004</v>
      </c>
      <c r="F883" s="30">
        <v>45657</v>
      </c>
      <c r="G883" s="10">
        <v>0</v>
      </c>
      <c r="H883" s="10">
        <v>0</v>
      </c>
      <c r="I883" s="10">
        <v>0</v>
      </c>
      <c r="J883" t="s">
        <v>54</v>
      </c>
      <c r="K883" s="10">
        <v>8018</v>
      </c>
    </row>
    <row r="884" spans="1:11">
      <c r="A884" s="10">
        <v>5009</v>
      </c>
      <c r="B884" s="10">
        <v>5</v>
      </c>
      <c r="C884" s="10">
        <v>176</v>
      </c>
      <c r="D884" s="29">
        <v>2840.64</v>
      </c>
      <c r="E884" s="29">
        <v>976.82299999999998</v>
      </c>
      <c r="F884" s="30">
        <v>45626</v>
      </c>
      <c r="G884" s="10">
        <v>0</v>
      </c>
      <c r="H884" s="10">
        <v>0</v>
      </c>
      <c r="I884" s="10">
        <v>0</v>
      </c>
      <c r="J884" t="s">
        <v>54</v>
      </c>
      <c r="K884" s="10">
        <v>8025</v>
      </c>
    </row>
    <row r="885" spans="1:11">
      <c r="A885" s="10">
        <v>5015</v>
      </c>
      <c r="B885" s="10">
        <v>2</v>
      </c>
      <c r="C885" s="10">
        <v>54</v>
      </c>
      <c r="D885" s="29">
        <v>767.88</v>
      </c>
      <c r="E885" s="29">
        <v>246.38399999999999</v>
      </c>
      <c r="F885" s="30">
        <v>45777</v>
      </c>
      <c r="G885" s="10">
        <v>0</v>
      </c>
      <c r="H885" s="10">
        <v>0</v>
      </c>
      <c r="I885" s="10">
        <v>0</v>
      </c>
      <c r="J885" t="s">
        <v>54</v>
      </c>
      <c r="K885" s="10">
        <v>8012</v>
      </c>
    </row>
    <row r="886" spans="1:11">
      <c r="A886" s="10">
        <v>5001</v>
      </c>
      <c r="B886" s="10">
        <v>1</v>
      </c>
      <c r="C886" s="10">
        <v>133</v>
      </c>
      <c r="D886" s="29">
        <v>2887.43</v>
      </c>
      <c r="E886" s="29">
        <v>1164.81</v>
      </c>
      <c r="F886" s="30">
        <v>45777</v>
      </c>
      <c r="G886" s="10">
        <v>0</v>
      </c>
      <c r="H886" s="10">
        <v>0</v>
      </c>
      <c r="I886" s="10">
        <v>0</v>
      </c>
      <c r="J886" t="s">
        <v>54</v>
      </c>
      <c r="K886" s="10">
        <v>8008</v>
      </c>
    </row>
    <row r="887" spans="1:11">
      <c r="A887" s="10">
        <v>5001</v>
      </c>
      <c r="B887" s="10">
        <v>1</v>
      </c>
      <c r="C887" s="10">
        <v>196</v>
      </c>
      <c r="D887" s="29">
        <v>4215.96</v>
      </c>
      <c r="E887" s="29">
        <v>1559.06</v>
      </c>
      <c r="F887" s="30">
        <v>45473</v>
      </c>
      <c r="G887" s="10">
        <v>0</v>
      </c>
      <c r="H887" s="10">
        <v>0</v>
      </c>
      <c r="I887" s="10">
        <v>0</v>
      </c>
      <c r="J887" t="s">
        <v>54</v>
      </c>
      <c r="K887" s="10">
        <v>8015</v>
      </c>
    </row>
    <row r="888" spans="1:11">
      <c r="A888" s="10">
        <v>5006</v>
      </c>
      <c r="B888" s="10">
        <v>5</v>
      </c>
      <c r="C888" s="10">
        <v>20</v>
      </c>
      <c r="D888" s="29">
        <v>230</v>
      </c>
      <c r="E888" s="29">
        <v>88.206999999999994</v>
      </c>
      <c r="F888" s="30">
        <v>45808</v>
      </c>
      <c r="G888" s="10">
        <v>0</v>
      </c>
      <c r="H888" s="10">
        <v>0</v>
      </c>
      <c r="I888" s="10">
        <v>0</v>
      </c>
      <c r="J888" t="s">
        <v>54</v>
      </c>
      <c r="K888" s="10">
        <v>8001</v>
      </c>
    </row>
    <row r="889" spans="1:11">
      <c r="A889" s="10">
        <v>5004</v>
      </c>
      <c r="B889" s="10">
        <v>1</v>
      </c>
      <c r="C889" s="10">
        <v>75</v>
      </c>
      <c r="D889" s="29">
        <v>375</v>
      </c>
      <c r="E889" s="29">
        <v>68.739000000000004</v>
      </c>
      <c r="F889" s="30">
        <v>45596</v>
      </c>
      <c r="G889" s="10">
        <v>0</v>
      </c>
      <c r="H889" s="10">
        <v>0</v>
      </c>
      <c r="I889" s="10">
        <v>0</v>
      </c>
      <c r="J889" t="s">
        <v>54</v>
      </c>
      <c r="K889" s="10">
        <v>8002</v>
      </c>
    </row>
    <row r="890" spans="1:11">
      <c r="A890" s="10">
        <v>5006</v>
      </c>
      <c r="B890" s="10">
        <v>3</v>
      </c>
      <c r="C890" s="10">
        <v>-91</v>
      </c>
      <c r="D890" s="29">
        <v>-218.4</v>
      </c>
      <c r="E890" s="29">
        <v>0</v>
      </c>
      <c r="F890" s="30">
        <v>45596</v>
      </c>
      <c r="G890" s="10">
        <v>1</v>
      </c>
      <c r="H890" s="10">
        <v>1</v>
      </c>
      <c r="I890" s="10">
        <v>0</v>
      </c>
      <c r="J890" t="s">
        <v>2</v>
      </c>
      <c r="K890" s="10">
        <v>8002</v>
      </c>
    </row>
    <row r="891" spans="1:11">
      <c r="A891" s="10">
        <v>5006</v>
      </c>
      <c r="B891" s="10">
        <v>2</v>
      </c>
      <c r="C891" s="10">
        <v>242</v>
      </c>
      <c r="D891" s="29">
        <v>1086.58</v>
      </c>
      <c r="E891" s="29">
        <v>386.339</v>
      </c>
      <c r="F891" s="30">
        <v>45596</v>
      </c>
      <c r="G891" s="10">
        <v>0</v>
      </c>
      <c r="H891" s="10">
        <v>0</v>
      </c>
      <c r="I891" s="10">
        <v>0</v>
      </c>
      <c r="J891" t="s">
        <v>54</v>
      </c>
      <c r="K891" s="10">
        <v>8004</v>
      </c>
    </row>
    <row r="892" spans="1:11">
      <c r="A892" s="10">
        <v>5008</v>
      </c>
      <c r="B892" s="10">
        <v>2</v>
      </c>
      <c r="C892" s="10">
        <v>52</v>
      </c>
      <c r="D892" s="29">
        <v>163.80000000000001</v>
      </c>
      <c r="E892" s="29">
        <v>43.545000000000002</v>
      </c>
      <c r="F892" s="30">
        <v>45777</v>
      </c>
      <c r="G892" s="10">
        <v>0</v>
      </c>
      <c r="H892" s="10">
        <v>0</v>
      </c>
      <c r="I892" s="10">
        <v>0</v>
      </c>
      <c r="J892" t="s">
        <v>54</v>
      </c>
      <c r="K892" s="10">
        <v>8014</v>
      </c>
    </row>
    <row r="893" spans="1:11">
      <c r="A893" s="10">
        <v>5006</v>
      </c>
      <c r="B893" s="10">
        <v>5</v>
      </c>
      <c r="C893" s="10">
        <v>60</v>
      </c>
      <c r="D893" s="29">
        <v>1391.4</v>
      </c>
      <c r="E893" s="29">
        <v>311.73200000000003</v>
      </c>
      <c r="F893" s="30">
        <v>45688</v>
      </c>
      <c r="G893" s="10">
        <v>0</v>
      </c>
      <c r="H893" s="10">
        <v>0</v>
      </c>
      <c r="I893" s="10">
        <v>0</v>
      </c>
      <c r="J893" t="s">
        <v>54</v>
      </c>
      <c r="K893" s="10">
        <v>8003</v>
      </c>
    </row>
    <row r="894" spans="1:11">
      <c r="A894" s="10">
        <v>5015</v>
      </c>
      <c r="B894" s="10">
        <v>2</v>
      </c>
      <c r="C894" s="10">
        <v>45</v>
      </c>
      <c r="D894" s="29">
        <v>715.95</v>
      </c>
      <c r="E894" s="29">
        <v>294.726</v>
      </c>
      <c r="F894" s="30">
        <v>45747</v>
      </c>
      <c r="G894" s="10">
        <v>0</v>
      </c>
      <c r="H894" s="10">
        <v>0</v>
      </c>
      <c r="I894" s="10">
        <v>0</v>
      </c>
      <c r="J894" t="s">
        <v>54</v>
      </c>
      <c r="K894" s="10">
        <v>8004</v>
      </c>
    </row>
    <row r="895" spans="1:11">
      <c r="A895" s="10">
        <v>5029</v>
      </c>
      <c r="B895" s="10">
        <v>2</v>
      </c>
      <c r="C895" s="10">
        <v>138</v>
      </c>
      <c r="D895" s="29">
        <v>3041.52</v>
      </c>
      <c r="E895" s="29">
        <v>487.435</v>
      </c>
      <c r="F895" s="30">
        <v>45626</v>
      </c>
      <c r="G895" s="10">
        <v>0</v>
      </c>
      <c r="H895" s="10">
        <v>0</v>
      </c>
      <c r="I895" s="10">
        <v>0</v>
      </c>
      <c r="J895" t="s">
        <v>54</v>
      </c>
      <c r="K895" s="10">
        <v>8015</v>
      </c>
    </row>
    <row r="896" spans="1:11">
      <c r="A896" s="10">
        <v>5017</v>
      </c>
      <c r="B896" s="10">
        <v>6</v>
      </c>
      <c r="C896" s="10">
        <v>6</v>
      </c>
      <c r="D896" s="29">
        <v>135.12</v>
      </c>
      <c r="E896" s="29">
        <v>42.622999999999998</v>
      </c>
      <c r="F896" s="30">
        <v>45657</v>
      </c>
      <c r="G896" s="10">
        <v>0</v>
      </c>
      <c r="H896" s="10">
        <v>0</v>
      </c>
      <c r="I896" s="10">
        <v>0</v>
      </c>
      <c r="J896" t="s">
        <v>54</v>
      </c>
      <c r="K896" s="10">
        <v>8003</v>
      </c>
    </row>
    <row r="897" spans="1:11">
      <c r="A897" s="10">
        <v>5005</v>
      </c>
      <c r="B897" s="10">
        <v>3</v>
      </c>
      <c r="C897" s="10">
        <v>-147</v>
      </c>
      <c r="D897" s="29">
        <v>-1930.11</v>
      </c>
      <c r="E897" s="29">
        <v>-220.92500000000001</v>
      </c>
      <c r="F897" s="30">
        <v>45961</v>
      </c>
      <c r="G897" s="10">
        <v>1</v>
      </c>
      <c r="H897" s="10">
        <v>1</v>
      </c>
      <c r="I897" s="10">
        <v>0</v>
      </c>
      <c r="J897" t="s">
        <v>2</v>
      </c>
      <c r="K897" s="10">
        <v>8004</v>
      </c>
    </row>
    <row r="898" spans="1:11">
      <c r="A898" s="10">
        <v>5005</v>
      </c>
      <c r="B898" s="10">
        <v>1</v>
      </c>
      <c r="C898" s="10">
        <v>168</v>
      </c>
      <c r="D898" s="29">
        <v>1344</v>
      </c>
      <c r="E898" s="29">
        <v>428.35399999999998</v>
      </c>
      <c r="F898" s="30">
        <v>45596</v>
      </c>
      <c r="G898" s="10">
        <v>0</v>
      </c>
      <c r="H898" s="10">
        <v>0</v>
      </c>
      <c r="I898" s="10">
        <v>0</v>
      </c>
      <c r="J898" t="s">
        <v>54</v>
      </c>
      <c r="K898" s="10">
        <v>8002</v>
      </c>
    </row>
    <row r="899" spans="1:11">
      <c r="A899" s="10">
        <v>5005</v>
      </c>
      <c r="B899" s="10">
        <v>2</v>
      </c>
      <c r="C899" s="10">
        <v>87</v>
      </c>
      <c r="D899" s="29">
        <v>1610.37</v>
      </c>
      <c r="E899" s="29">
        <v>360.62799999999999</v>
      </c>
      <c r="F899" s="30">
        <v>46022</v>
      </c>
      <c r="G899" s="10">
        <v>0</v>
      </c>
      <c r="H899" s="10">
        <v>0</v>
      </c>
      <c r="I899" s="10">
        <v>0</v>
      </c>
      <c r="J899" t="s">
        <v>54</v>
      </c>
      <c r="K899" s="10">
        <v>8011</v>
      </c>
    </row>
    <row r="900" spans="1:11">
      <c r="A900" s="10">
        <v>5005</v>
      </c>
      <c r="B900" s="10">
        <v>3</v>
      </c>
      <c r="C900" s="10">
        <v>23</v>
      </c>
      <c r="D900" s="29">
        <v>394.68</v>
      </c>
      <c r="E900" s="29">
        <v>63.359000000000002</v>
      </c>
      <c r="F900" s="30">
        <v>46022</v>
      </c>
      <c r="G900" s="10">
        <v>0</v>
      </c>
      <c r="H900" s="10">
        <v>0</v>
      </c>
      <c r="I900" s="10">
        <v>0</v>
      </c>
      <c r="J900" t="s">
        <v>54</v>
      </c>
      <c r="K900" s="10">
        <v>8006</v>
      </c>
    </row>
    <row r="901" spans="1:11" ht="13.8" customHeight="1">
      <c r="A901" s="10">
        <v>5020</v>
      </c>
      <c r="B901" s="10">
        <v>2</v>
      </c>
      <c r="C901" s="10">
        <v>274</v>
      </c>
      <c r="D901" s="29">
        <v>4770.34</v>
      </c>
      <c r="E901" s="29">
        <v>1430.693</v>
      </c>
      <c r="F901" s="30">
        <v>45657</v>
      </c>
      <c r="G901" s="10">
        <v>0</v>
      </c>
      <c r="H901" s="10">
        <v>0</v>
      </c>
      <c r="I901" s="10">
        <v>0</v>
      </c>
      <c r="J901" t="s">
        <v>54</v>
      </c>
      <c r="K901" s="10">
        <v>8010</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6FA75-3CC7-4F40-82E3-BA8EF7AFA8A2}">
  <sheetPr codeName="Sheet10"/>
  <dimension ref="A1:F31"/>
  <sheetViews>
    <sheetView workbookViewId="0">
      <selection activeCell="B27" sqref="B27"/>
    </sheetView>
  </sheetViews>
  <sheetFormatPr defaultRowHeight="14.4"/>
  <cols>
    <col min="1" max="1" width="15.33203125" bestFit="1" customWidth="1"/>
    <col min="2" max="2" width="50.44140625" customWidth="1"/>
    <col min="3" max="3" width="23.77734375" customWidth="1"/>
    <col min="4" max="4" width="19.88671875" bestFit="1" customWidth="1"/>
    <col min="5" max="5" width="24.44140625" customWidth="1"/>
    <col min="6" max="6" width="18.6640625" bestFit="1" customWidth="1"/>
    <col min="7" max="7" width="35.33203125" customWidth="1"/>
  </cols>
  <sheetData>
    <row r="1" spans="1:6">
      <c r="A1" t="s">
        <v>0</v>
      </c>
      <c r="B1" t="s">
        <v>60</v>
      </c>
      <c r="C1" t="s">
        <v>61</v>
      </c>
      <c r="D1" t="s">
        <v>62</v>
      </c>
      <c r="E1" t="s">
        <v>20</v>
      </c>
      <c r="F1" t="s">
        <v>59</v>
      </c>
    </row>
    <row r="2" spans="1:6">
      <c r="A2" s="26">
        <v>5001</v>
      </c>
      <c r="B2" s="26" t="s">
        <v>69</v>
      </c>
      <c r="C2" s="26" t="s">
        <v>70</v>
      </c>
      <c r="D2" s="26" t="s">
        <v>71</v>
      </c>
      <c r="E2" s="26" t="s">
        <v>70</v>
      </c>
      <c r="F2" s="26" t="s">
        <v>72</v>
      </c>
    </row>
    <row r="3" spans="1:6">
      <c r="A3" s="26">
        <v>5002</v>
      </c>
      <c r="B3" s="26" t="s">
        <v>73</v>
      </c>
      <c r="C3" s="26" t="s">
        <v>74</v>
      </c>
      <c r="D3" s="26" t="s">
        <v>75</v>
      </c>
      <c r="E3" s="26" t="s">
        <v>74</v>
      </c>
      <c r="F3" s="26" t="s">
        <v>76</v>
      </c>
    </row>
    <row r="4" spans="1:6">
      <c r="A4" s="26">
        <v>5003</v>
      </c>
      <c r="B4" s="26" t="s">
        <v>77</v>
      </c>
      <c r="C4" s="26" t="s">
        <v>74</v>
      </c>
      <c r="D4" s="26" t="s">
        <v>78</v>
      </c>
      <c r="E4" s="26" t="s">
        <v>74</v>
      </c>
      <c r="F4" s="26" t="s">
        <v>79</v>
      </c>
    </row>
    <row r="5" spans="1:6">
      <c r="A5" s="26">
        <v>5004</v>
      </c>
      <c r="B5" s="26" t="s">
        <v>80</v>
      </c>
      <c r="C5" s="26" t="s">
        <v>81</v>
      </c>
      <c r="D5" s="26" t="s">
        <v>71</v>
      </c>
      <c r="E5" s="26" t="s">
        <v>81</v>
      </c>
      <c r="F5" s="26" t="s">
        <v>82</v>
      </c>
    </row>
    <row r="6" spans="1:6">
      <c r="A6" s="26">
        <v>5005</v>
      </c>
      <c r="B6" s="26" t="s">
        <v>72</v>
      </c>
      <c r="C6" s="26" t="s">
        <v>74</v>
      </c>
      <c r="D6" s="26" t="s">
        <v>83</v>
      </c>
      <c r="E6" s="26" t="s">
        <v>74</v>
      </c>
      <c r="F6" s="26" t="s">
        <v>84</v>
      </c>
    </row>
    <row r="7" spans="1:6">
      <c r="A7" s="26">
        <v>5006</v>
      </c>
      <c r="B7" s="26" t="s">
        <v>85</v>
      </c>
      <c r="C7" s="26" t="s">
        <v>86</v>
      </c>
      <c r="D7" s="26" t="s">
        <v>78</v>
      </c>
      <c r="E7" s="26" t="s">
        <v>86</v>
      </c>
      <c r="F7" s="26" t="s">
        <v>87</v>
      </c>
    </row>
    <row r="8" spans="1:6">
      <c r="A8" s="26">
        <v>5007</v>
      </c>
      <c r="B8" s="26" t="s">
        <v>75</v>
      </c>
      <c r="C8" s="26" t="s">
        <v>74</v>
      </c>
      <c r="D8" s="26" t="s">
        <v>88</v>
      </c>
      <c r="E8" s="26" t="s">
        <v>74</v>
      </c>
      <c r="F8" s="26" t="s">
        <v>89</v>
      </c>
    </row>
    <row r="9" spans="1:6">
      <c r="A9" s="26">
        <v>5008</v>
      </c>
      <c r="B9" s="26" t="s">
        <v>82</v>
      </c>
      <c r="C9" s="26" t="s">
        <v>90</v>
      </c>
      <c r="D9" s="26" t="s">
        <v>91</v>
      </c>
      <c r="E9" s="26" t="s">
        <v>90</v>
      </c>
      <c r="F9" s="26" t="s">
        <v>92</v>
      </c>
    </row>
    <row r="10" spans="1:6">
      <c r="A10" s="26">
        <v>5009</v>
      </c>
      <c r="B10" s="26" t="s">
        <v>93</v>
      </c>
      <c r="C10" s="26" t="s">
        <v>81</v>
      </c>
      <c r="D10" s="26" t="s">
        <v>94</v>
      </c>
      <c r="E10" s="26" t="s">
        <v>81</v>
      </c>
      <c r="F10" s="26" t="s">
        <v>75</v>
      </c>
    </row>
    <row r="11" spans="1:6">
      <c r="A11" s="26">
        <v>5010</v>
      </c>
      <c r="B11" s="26" t="s">
        <v>75</v>
      </c>
      <c r="C11" s="26" t="s">
        <v>86</v>
      </c>
      <c r="D11" s="26" t="s">
        <v>95</v>
      </c>
      <c r="E11" s="26" t="s">
        <v>86</v>
      </c>
      <c r="F11" s="26" t="s">
        <v>96</v>
      </c>
    </row>
    <row r="12" spans="1:6">
      <c r="A12" s="26">
        <v>5011</v>
      </c>
      <c r="B12" s="26" t="s">
        <v>97</v>
      </c>
      <c r="C12" s="26" t="s">
        <v>81</v>
      </c>
      <c r="D12" s="26" t="s">
        <v>89</v>
      </c>
      <c r="E12" s="26" t="s">
        <v>81</v>
      </c>
      <c r="F12" s="26" t="s">
        <v>98</v>
      </c>
    </row>
    <row r="13" spans="1:6">
      <c r="A13" s="26">
        <v>5012</v>
      </c>
      <c r="B13" s="26" t="s">
        <v>99</v>
      </c>
      <c r="C13" s="26" t="s">
        <v>70</v>
      </c>
      <c r="D13" s="26" t="s">
        <v>100</v>
      </c>
      <c r="E13" s="26" t="s">
        <v>70</v>
      </c>
      <c r="F13" s="26" t="s">
        <v>71</v>
      </c>
    </row>
    <row r="14" spans="1:6">
      <c r="A14" s="26">
        <v>5013</v>
      </c>
      <c r="B14" s="26" t="s">
        <v>101</v>
      </c>
      <c r="C14" s="26" t="s">
        <v>90</v>
      </c>
      <c r="D14" s="26" t="s">
        <v>102</v>
      </c>
      <c r="E14" s="26" t="s">
        <v>90</v>
      </c>
      <c r="F14" s="26" t="s">
        <v>93</v>
      </c>
    </row>
    <row r="15" spans="1:6">
      <c r="A15" s="26">
        <v>5014</v>
      </c>
      <c r="B15" s="26" t="s">
        <v>102</v>
      </c>
      <c r="C15" s="26" t="s">
        <v>90</v>
      </c>
      <c r="D15" s="26" t="s">
        <v>85</v>
      </c>
      <c r="E15" s="26" t="s">
        <v>90</v>
      </c>
      <c r="F15" s="26" t="s">
        <v>69</v>
      </c>
    </row>
    <row r="16" spans="1:6">
      <c r="A16" s="26">
        <v>5015</v>
      </c>
      <c r="B16" s="26" t="s">
        <v>103</v>
      </c>
      <c r="C16" s="26" t="s">
        <v>70</v>
      </c>
      <c r="D16" s="26" t="s">
        <v>104</v>
      </c>
      <c r="E16" s="26" t="s">
        <v>70</v>
      </c>
      <c r="F16" s="26" t="s">
        <v>80</v>
      </c>
    </row>
    <row r="17" spans="1:6">
      <c r="A17" s="26">
        <v>5016</v>
      </c>
      <c r="B17" s="26" t="s">
        <v>105</v>
      </c>
      <c r="C17" s="26" t="s">
        <v>81</v>
      </c>
      <c r="D17" s="26" t="s">
        <v>71</v>
      </c>
      <c r="E17" s="26" t="s">
        <v>81</v>
      </c>
      <c r="F17" s="26" t="s">
        <v>106</v>
      </c>
    </row>
    <row r="18" spans="1:6">
      <c r="A18" s="26">
        <v>5017</v>
      </c>
      <c r="B18" s="26" t="s">
        <v>107</v>
      </c>
      <c r="C18" s="26" t="s">
        <v>90</v>
      </c>
      <c r="D18" s="26" t="s">
        <v>108</v>
      </c>
      <c r="E18" s="26" t="s">
        <v>90</v>
      </c>
      <c r="F18" s="26" t="s">
        <v>84</v>
      </c>
    </row>
    <row r="19" spans="1:6">
      <c r="A19" s="26">
        <v>5018</v>
      </c>
      <c r="B19" s="26" t="s">
        <v>109</v>
      </c>
      <c r="C19" s="26" t="s">
        <v>70</v>
      </c>
      <c r="D19" s="26" t="s">
        <v>83</v>
      </c>
      <c r="E19" s="26" t="s">
        <v>70</v>
      </c>
      <c r="F19" s="26" t="s">
        <v>110</v>
      </c>
    </row>
    <row r="20" spans="1:6">
      <c r="A20" s="26">
        <v>5019</v>
      </c>
      <c r="B20" s="26" t="s">
        <v>83</v>
      </c>
      <c r="C20" s="26" t="s">
        <v>74</v>
      </c>
      <c r="D20" s="26" t="s">
        <v>111</v>
      </c>
      <c r="E20" s="26" t="s">
        <v>74</v>
      </c>
      <c r="F20" s="26" t="s">
        <v>112</v>
      </c>
    </row>
    <row r="21" spans="1:6">
      <c r="A21" s="26">
        <v>5020</v>
      </c>
      <c r="B21" s="26" t="s">
        <v>113</v>
      </c>
      <c r="C21" s="26" t="s">
        <v>90</v>
      </c>
      <c r="D21" s="26" t="s">
        <v>114</v>
      </c>
      <c r="E21" s="26" t="s">
        <v>90</v>
      </c>
      <c r="F21" s="26" t="s">
        <v>115</v>
      </c>
    </row>
    <row r="22" spans="1:6">
      <c r="A22" s="26">
        <v>5021</v>
      </c>
      <c r="B22" s="26" t="s">
        <v>116</v>
      </c>
      <c r="C22" s="26" t="s">
        <v>90</v>
      </c>
      <c r="D22" s="26" t="s">
        <v>117</v>
      </c>
      <c r="E22" s="26" t="s">
        <v>90</v>
      </c>
      <c r="F22" s="26" t="s">
        <v>118</v>
      </c>
    </row>
    <row r="23" spans="1:6">
      <c r="A23" s="26">
        <v>5022</v>
      </c>
      <c r="B23" s="26" t="s">
        <v>119</v>
      </c>
      <c r="C23" s="26" t="s">
        <v>86</v>
      </c>
      <c r="D23" s="26" t="s">
        <v>107</v>
      </c>
      <c r="E23" s="26" t="s">
        <v>86</v>
      </c>
      <c r="F23" s="26" t="s">
        <v>120</v>
      </c>
    </row>
    <row r="24" spans="1:6">
      <c r="A24" s="26">
        <v>5023</v>
      </c>
      <c r="B24" s="26" t="s">
        <v>97</v>
      </c>
      <c r="C24" s="26" t="s">
        <v>86</v>
      </c>
      <c r="D24" s="26" t="s">
        <v>120</v>
      </c>
      <c r="E24" s="26" t="s">
        <v>86</v>
      </c>
      <c r="F24" s="26" t="s">
        <v>112</v>
      </c>
    </row>
    <row r="25" spans="1:6">
      <c r="A25" s="26">
        <v>5024</v>
      </c>
      <c r="B25" s="26" t="s">
        <v>121</v>
      </c>
      <c r="C25" s="26" t="s">
        <v>86</v>
      </c>
      <c r="D25" s="26" t="s">
        <v>122</v>
      </c>
      <c r="E25" s="26" t="s">
        <v>86</v>
      </c>
      <c r="F25" s="26" t="s">
        <v>102</v>
      </c>
    </row>
    <row r="26" spans="1:6">
      <c r="A26" s="26">
        <v>5025</v>
      </c>
      <c r="B26" s="26" t="s">
        <v>88</v>
      </c>
      <c r="C26" s="26" t="s">
        <v>81</v>
      </c>
      <c r="D26" s="26" t="s">
        <v>117</v>
      </c>
      <c r="E26" s="26" t="s">
        <v>81</v>
      </c>
      <c r="F26" s="26" t="s">
        <v>91</v>
      </c>
    </row>
    <row r="27" spans="1:6">
      <c r="A27" s="26">
        <v>5026</v>
      </c>
      <c r="B27" s="26" t="s">
        <v>123</v>
      </c>
      <c r="C27" s="26" t="s">
        <v>70</v>
      </c>
      <c r="D27" s="26" t="s">
        <v>77</v>
      </c>
      <c r="E27" s="26" t="s">
        <v>70</v>
      </c>
      <c r="F27" s="26" t="s">
        <v>105</v>
      </c>
    </row>
    <row r="28" spans="1:6">
      <c r="A28" s="26">
        <v>5027</v>
      </c>
      <c r="B28" s="26" t="s">
        <v>88</v>
      </c>
      <c r="C28" s="26" t="s">
        <v>90</v>
      </c>
      <c r="D28" s="26" t="s">
        <v>124</v>
      </c>
      <c r="E28" s="26" t="s">
        <v>90</v>
      </c>
      <c r="F28" s="26" t="s">
        <v>93</v>
      </c>
    </row>
    <row r="29" spans="1:6">
      <c r="A29" s="26">
        <v>5028</v>
      </c>
      <c r="B29" s="26" t="s">
        <v>125</v>
      </c>
      <c r="C29" s="26" t="s">
        <v>81</v>
      </c>
      <c r="D29" s="26" t="s">
        <v>82</v>
      </c>
      <c r="E29" s="26" t="s">
        <v>81</v>
      </c>
      <c r="F29" s="26" t="s">
        <v>126</v>
      </c>
    </row>
    <row r="30" spans="1:6">
      <c r="A30" s="26">
        <v>5029</v>
      </c>
      <c r="B30" s="26" t="s">
        <v>111</v>
      </c>
      <c r="C30" s="26" t="s">
        <v>70</v>
      </c>
      <c r="D30" s="26" t="s">
        <v>127</v>
      </c>
      <c r="E30" s="26" t="s">
        <v>70</v>
      </c>
      <c r="F30" s="26" t="s">
        <v>128</v>
      </c>
    </row>
    <row r="31" spans="1:6">
      <c r="A31" s="26">
        <v>5030</v>
      </c>
      <c r="B31" s="26" t="s">
        <v>79</v>
      </c>
      <c r="C31" s="26" t="s">
        <v>74</v>
      </c>
      <c r="D31" s="26" t="s">
        <v>85</v>
      </c>
      <c r="E31" s="26" t="s">
        <v>74</v>
      </c>
      <c r="F31" s="26" t="s">
        <v>107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item1.xml>�� �  �  
</file>

<file path=customXml/item2.xml>�� 
</file>

<file path=customXml/item3.xml>�� �  �  
</file>

<file path=customXml/item4.xml>�� �  �  
</file>

<file path=customXml/item5.xml>�� �  �  
</file>

<file path=customXml/item6.xml>��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_activity xmlns="8f99b90c-062a-495f-9b09-42ec5eb20baf" xsi:nil="true"/>
  </documentManagement>
</p:properties>
</file>

<file path=customXml/item9.xml>�� 
</file>

<file path=customXml/item10.xml>�� �  �  
</file>

<file path=customXml/item11.xml>�� 
</file>

<file path=customXml/item12.xml>�� �  �  
</file>

<file path=customXml/item13.xml>�� 
</file>

<file path=customXml/item14.xml>�� 
</file>

<file path=customXml/item15.xml>�� �  �  
</file>

<file path=customXml/item16.xml>�� 
</file>

<file path=customXml/item17.xml>�� �  �  
</file>

<file path=customXml/item18.xml>�� �  �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file>

<file path=customXml/item21.xml>�� �  �  
</file>

<file path=customXml/item22.xml>�� 
</file>

<file path=customXml/item23.xml>�� �  �  
</file>

<file path=customXml/item24.xml>�� �  �  
</file>

<file path=customXml/item25.xml>�� �  �  
</file>

<file path=customXml/item26.xml>�� 
</file>

<file path=customXml/item27.xml>�� 
</file>

<file path=customXml/item28.xml>�� �  �  
</file>

<file path=customXml/item29.xml>�� �  �  
</file>

<file path=customXml/item30.xml>�� �  �  
</file>

<file path=customXml/item31.xml>�� �  �  
</file>

<file path=customXml/item32.xml>�� �  �  
</file>

<file path=customXml/item33.xml>�� �  �  
</file>

<file path=customXml/item34.xml>�� �  �  
</file>

<file path=customXml/item35.xml>�� �  �  
</file>

<file path=customXml/item36.xml>�� �  �  
</file>

<file path=customXml/item37.xml>�� 
</file>

<file path=customXml/item38.xml>�� �  �  
</file>

<file path=customXml/item39.xml>�� 
</file>

<file path=customXml/item40.xml>�� �  �  
</file>

<file path=customXml/item41.xml>�� 
</file>

<file path=customXml/item42.xml>�� 
</file>

<file path=customXml/item43.xml>�� 
</file>

<file path=customXml/item44.xml>�� �  �  
</file>

<file path=customXml/item45.xml>�� �  �  
</file>

<file path=customXml/item46.xml>�� �  �  
</file>

<file path=customXml/item47.xml>�� 
</file>

<file path=customXml/item48.xml>�� 
</file>

<file path=customXml/item49.xml>�� �  �  
</file>

<file path=customXml/item50.xml>�� �  �  
</file>

<file path=customXml/item51.xml>�� �  �  
</file>

<file path=customXml/item52.xml><?xml version="1.0" encoding="utf-8"?>
<ct:contentTypeSchema xmlns:ct="http://schemas.microsoft.com/office/2006/metadata/contentType" xmlns:ma="http://schemas.microsoft.com/office/2006/metadata/properties/metaAttributes" ct:_="" ma:_="" ma:contentTypeName="Documento" ma:contentTypeID="0x010100C7D898B6C898ED4AB1A5282424B728EF" ma:contentTypeVersion="10" ma:contentTypeDescription="Criar um novo documento." ma:contentTypeScope="" ma:versionID="7faf8af18fab38b8fdbd39a62ae6e277">
  <xsd:schema xmlns:xsd="http://www.w3.org/2001/XMLSchema" xmlns:xs="http://www.w3.org/2001/XMLSchema" xmlns:p="http://schemas.microsoft.com/office/2006/metadata/properties" xmlns:ns3="8f99b90c-062a-495f-9b09-42ec5eb20baf" targetNamespace="http://schemas.microsoft.com/office/2006/metadata/properties" ma:root="true" ma:fieldsID="166c34cdd1236d1dd64a34b0c94ed12d" ns3:_="">
    <xsd:import namespace="8f99b90c-062a-495f-9b09-42ec5eb20baf"/>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99b90c-062a-495f-9b09-42ec5eb20baf"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3.xml>�� �  �  
</file>

<file path=customXml/item54.xml>�� �  �  
</file>

<file path=customXml/item55.xml>�� 
</file>

<file path=customXml/item56.xml>�� 
</file>

<file path=customXml/item57.xml>�� 
</file>

<file path=customXml/item58.xml>�� 
</file>

<file path=customXml/item59.xml>�� 
</file>

<file path=customXml/item60.xml>�� �  �  
</file>

<file path=customXml/item61.xml>�� 
</file>

<file path=customXml/item62.xml>�� �  �  
</file>

<file path=customXml/item63.xml>�� �  �  
</file>

<file path=customXml/item64.xml>�� �  �  
</file>

<file path=customXml/item65.xml>�� 
</file>

<file path=customXml/item66.xml>�� 
</file>

<file path=customXml/item67.xml>�� 
</file>

<file path=customXml/item68.xml>�� 
</file>

<file path=customXml/item69.xml>�� 
</file>

<file path=customXml/item70.xml>�� �  �  �  �  �  �  �  �  
</file>

<file path=customXml/item71.xml>�� �  �  
</file>

<file path=customXml/item72.xml>�� �  �  
</file>

<file path=customXml/item73.xml>�� �  �  
</file>

<file path=customXml/item74.xml>�� �  �  
</file>

<file path=customXml/item75.xml>�� �  �  
</file>

<file path=customXml/item76.xml>�� �  �  
</file>

<file path=customXml/item77.xml>�� 
</file>

<file path=customXml/item78.xml>�� 
</file>

<file path=customXml/item79.xml>�� 
</file>

<file path=customXml/item80.xml>�� 
</file>

<file path=customXml/item81.xml>�� 
</file>

<file path=customXml/itemProps1.xml><?xml version="1.0" encoding="utf-8"?>
<ds:datastoreItem xmlns:ds="http://schemas.openxmlformats.org/officeDocument/2006/customXml" ds:itemID="{A4F5AB84-6DDE-4AFE-ADD3-4F927E1256ED}">
  <ds:schemaRefs>
    <ds:schemaRef ds:uri="http://gemini/pivotcustomization/344dde96-71ae-4536-9666-2b534d94a58c"/>
  </ds:schemaRefs>
</ds:datastoreItem>
</file>

<file path=customXml/itemProps2.xml><?xml version="1.0" encoding="utf-8"?>
<ds:datastoreItem xmlns:ds="http://schemas.openxmlformats.org/officeDocument/2006/customXml" ds:itemID="{4A7851A9-77C5-436A-A6E7-AC3F495CC4EA}">
  <ds:schemaRefs>
    <ds:schemaRef ds:uri="http://gemini/pivotcustomization/TableXML_Dim_Clientes"/>
  </ds:schemaRefs>
</ds:datastoreItem>
</file>

<file path=customXml/itemProps3.xml><?xml version="1.0" encoding="utf-8"?>
<ds:datastoreItem xmlns:ds="http://schemas.openxmlformats.org/officeDocument/2006/customXml" ds:itemID="{55DC225B-45D7-4AEF-A184-43E1828A800E}">
  <ds:schemaRefs>
    <ds:schemaRef ds:uri="http://gemini/pivotcustomization/78e3be15-7cb0-4fc9-9d3b-47f74d5e0c86"/>
  </ds:schemaRefs>
</ds:datastoreItem>
</file>

<file path=customXml/itemProps4.xml><?xml version="1.0" encoding="utf-8"?>
<ds:datastoreItem xmlns:ds="http://schemas.openxmlformats.org/officeDocument/2006/customXml" ds:itemID="{FFAEFF67-4AC4-4FFC-A7DE-03F4CB29014F}">
  <ds:schemaRefs>
    <ds:schemaRef ds:uri="http://gemini/pivotcustomization/e65eaba1-8f89-4ede-9602-3bab3a3dfc95"/>
  </ds:schemaRefs>
</ds:datastoreItem>
</file>

<file path=customXml/itemProps5.xml><?xml version="1.0" encoding="utf-8"?>
<ds:datastoreItem xmlns:ds="http://schemas.openxmlformats.org/officeDocument/2006/customXml" ds:itemID="{F8B89526-36CD-46BE-8E4F-8461FB3E78F1}">
  <ds:schemaRefs>
    <ds:schemaRef ds:uri="http://gemini/pivotcustomization/2c7378ae-b9da-4015-b579-c68dbf6d546c"/>
  </ds:schemaRefs>
</ds:datastoreItem>
</file>

<file path=customXml/itemProps6.xml><?xml version="1.0" encoding="utf-8"?>
<ds:datastoreItem xmlns:ds="http://schemas.openxmlformats.org/officeDocument/2006/customXml" ds:itemID="{1A55229C-B5B1-41DC-AD40-5347D2B3BC4E}">
  <ds:schemaRefs>
    <ds:schemaRef ds:uri="http://gemini/pivotcustomization/770c8bb3-d0f3-498c-a074-2400b2246128"/>
  </ds:schemaRefs>
</ds:datastoreItem>
</file>

<file path=customXml/itemProps7.xml><?xml version="1.0" encoding="utf-8"?>
<ds:datastoreItem xmlns:ds="http://schemas.openxmlformats.org/officeDocument/2006/customXml" ds:itemID="{AF887842-5D5C-4057-85FD-F977D11FCCEF}">
  <ds:schemaRefs>
    <ds:schemaRef ds:uri="http://gemini/pivotcustomization/30afc041-df9a-409c-bd7e-7115dfffd47c"/>
  </ds:schemaRefs>
</ds:datastoreItem>
</file>

<file path=customXml/itemProps8.xml><?xml version="1.0" encoding="utf-8"?>
<ds:datastoreItem xmlns:ds="http://schemas.openxmlformats.org/officeDocument/2006/customXml" ds:itemID="{EBEA3071-43B1-40A6-989F-CEBA319179AA}">
  <ds:schemaRefs>
    <ds:schemaRef ds:uri="http://schemas.microsoft.com/office/2006/documentManagement/types"/>
    <ds:schemaRef ds:uri="http://purl.org/dc/dcmitype/"/>
    <ds:schemaRef ds:uri="http://schemas.microsoft.com/office/2006/metadata/properties"/>
    <ds:schemaRef ds:uri="http://purl.org/dc/terms/"/>
    <ds:schemaRef ds:uri="http://www.w3.org/XML/1998/namespace"/>
    <ds:schemaRef ds:uri="http://schemas.microsoft.com/office/infopath/2007/PartnerControls"/>
    <ds:schemaRef ds:uri="http://schemas.openxmlformats.org/package/2006/metadata/core-properties"/>
    <ds:schemaRef ds:uri="8f99b90c-062a-495f-9b09-42ec5eb20baf"/>
    <ds:schemaRef ds:uri="http://purl.org/dc/elements/1.1/"/>
  </ds:schemaRefs>
</ds:datastoreItem>
</file>

<file path=customXml/itemProps9.xml><?xml version="1.0" encoding="utf-8"?>
<ds:datastoreItem xmlns:ds="http://schemas.openxmlformats.org/officeDocument/2006/customXml" ds:itemID="{9159E8A9-6B6B-4C86-B04B-46B02A904E9E}">
  <ds:schemaRefs>
    <ds:schemaRef ds:uri="http://gemini/pivotcustomization/ShowHidden"/>
  </ds:schemaRefs>
</ds:datastoreItem>
</file>

<file path=customXml/itemProps10.xml><?xml version="1.0" encoding="utf-8"?>
<ds:datastoreItem xmlns:ds="http://schemas.openxmlformats.org/officeDocument/2006/customXml" ds:itemID="{C043CFD8-E055-4AA1-B313-3A8484E76C68}">
  <ds:schemaRefs>
    <ds:schemaRef ds:uri="http://gemini/pivotcustomization/31f9f25f-45ec-46fa-a546-42755d9184f2"/>
  </ds:schemaRefs>
</ds:datastoreItem>
</file>

<file path=customXml/itemProps11.xml><?xml version="1.0" encoding="utf-8"?>
<ds:datastoreItem xmlns:ds="http://schemas.openxmlformats.org/officeDocument/2006/customXml" ds:itemID="{DA8AE1C1-2592-4E6A-8D50-F660A295BA5C}">
  <ds:schemaRefs>
    <ds:schemaRef ds:uri="http://gemini/pivotcustomization/370e385a-16d4-42e8-acb9-c1d3d8282c19"/>
  </ds:schemaRefs>
</ds:datastoreItem>
</file>

<file path=customXml/itemProps12.xml><?xml version="1.0" encoding="utf-8"?>
<ds:datastoreItem xmlns:ds="http://schemas.openxmlformats.org/officeDocument/2006/customXml" ds:itemID="{9B661A49-67EA-424F-B32A-225D35EA25CD}">
  <ds:schemaRefs>
    <ds:schemaRef ds:uri="http://gemini/pivotcustomization/5b6c7392-8ca2-4297-a0fd-3553a565e9ac"/>
  </ds:schemaRefs>
</ds:datastoreItem>
</file>

<file path=customXml/itemProps13.xml><?xml version="1.0" encoding="utf-8"?>
<ds:datastoreItem xmlns:ds="http://schemas.openxmlformats.org/officeDocument/2006/customXml" ds:itemID="{925243EE-6025-448B-90E6-C87883786BF2}">
  <ds:schemaRefs>
    <ds:schemaRef ds:uri="http://gemini/pivotcustomization/ShowImplicitMeasures"/>
  </ds:schemaRefs>
</ds:datastoreItem>
</file>

<file path=customXml/itemProps14.xml><?xml version="1.0" encoding="utf-8"?>
<ds:datastoreItem xmlns:ds="http://schemas.openxmlformats.org/officeDocument/2006/customXml" ds:itemID="{08B623A3-4D46-46C5-BA13-7D87266E89EA}">
  <ds:schemaRefs>
    <ds:schemaRef ds:uri="http://gemini/pivotcustomization/TableXML_Dim_Produtos"/>
  </ds:schemaRefs>
</ds:datastoreItem>
</file>

<file path=customXml/itemProps15.xml><?xml version="1.0" encoding="utf-8"?>
<ds:datastoreItem xmlns:ds="http://schemas.openxmlformats.org/officeDocument/2006/customXml" ds:itemID="{FBCAAD0D-107C-4DE3-8B7F-82E468BC0DE4}">
  <ds:schemaRefs>
    <ds:schemaRef ds:uri="http://gemini/pivotcustomization/3bb9b5cd-7821-40da-a842-7e4e33d4e918"/>
  </ds:schemaRefs>
</ds:datastoreItem>
</file>

<file path=customXml/itemProps16.xml><?xml version="1.0" encoding="utf-8"?>
<ds:datastoreItem xmlns:ds="http://schemas.openxmlformats.org/officeDocument/2006/customXml" ds:itemID="{DAAE8E3A-D3EE-42F4-8450-62A251AFF750}">
  <ds:schemaRefs/>
</ds:datastoreItem>
</file>

<file path=customXml/itemProps17.xml><?xml version="1.0" encoding="utf-8"?>
<ds:datastoreItem xmlns:ds="http://schemas.openxmlformats.org/officeDocument/2006/customXml" ds:itemID="{68521540-4D55-406C-A873-BE92181C5CA6}">
  <ds:schemaRefs>
    <ds:schemaRef ds:uri="http://gemini/pivotcustomization/ab99f15f-9804-43a6-98a4-7123be036ada"/>
  </ds:schemaRefs>
</ds:datastoreItem>
</file>

<file path=customXml/itemProps18.xml><?xml version="1.0" encoding="utf-8"?>
<ds:datastoreItem xmlns:ds="http://schemas.openxmlformats.org/officeDocument/2006/customXml" ds:itemID="{69FA9165-B607-4556-A80E-DCA4492E53FA}">
  <ds:schemaRefs>
    <ds:schemaRef ds:uri="http://gemini/pivotcustomization/8e390658-2f78-4d83-b206-595324d5748c"/>
  </ds:schemaRefs>
</ds:datastoreItem>
</file>

<file path=customXml/itemProps19.xml><?xml version="1.0" encoding="utf-8"?>
<ds:datastoreItem xmlns:ds="http://schemas.openxmlformats.org/officeDocument/2006/customXml" ds:itemID="{924FB1B9-9BC7-49FA-948E-0F1FA3AB9F1A}">
  <ds:schemaRefs>
    <ds:schemaRef ds:uri="http://schemas.microsoft.com/sharepoint/v3/contenttype/forms"/>
  </ds:schemaRefs>
</ds:datastoreItem>
</file>

<file path=customXml/itemProps20.xml><?xml version="1.0" encoding="utf-8"?>
<ds:datastoreItem xmlns:ds="http://schemas.openxmlformats.org/officeDocument/2006/customXml" ds:itemID="{D8F4DBC0-7227-4AE1-AB9D-8118783AF65D}">
  <ds:schemaRefs>
    <ds:schemaRef ds:uri="http://gemini/pivotcustomization/81a60df0-86b3-477d-9d92-6000272432d8"/>
  </ds:schemaRefs>
</ds:datastoreItem>
</file>

<file path=customXml/itemProps21.xml><?xml version="1.0" encoding="utf-8"?>
<ds:datastoreItem xmlns:ds="http://schemas.openxmlformats.org/officeDocument/2006/customXml" ds:itemID="{A5680CD2-9BA0-4605-A04C-53894612018E}">
  <ds:schemaRefs>
    <ds:schemaRef ds:uri="http://gemini/pivotcustomization/b827e95b-e926-4248-a3e6-af9ca92a644c"/>
  </ds:schemaRefs>
</ds:datastoreItem>
</file>

<file path=customXml/itemProps22.xml><?xml version="1.0" encoding="utf-8"?>
<ds:datastoreItem xmlns:ds="http://schemas.openxmlformats.org/officeDocument/2006/customXml" ds:itemID="{CB93B850-6463-456C-80D1-C3E4D91D444C}">
  <ds:schemaRefs>
    <ds:schemaRef ds:uri="http://gemini/pivotcustomization/8298d64f-c4fe-4e15-b905-fdf53f60eb1c"/>
  </ds:schemaRefs>
</ds:datastoreItem>
</file>

<file path=customXml/itemProps23.xml><?xml version="1.0" encoding="utf-8"?>
<ds:datastoreItem xmlns:ds="http://schemas.openxmlformats.org/officeDocument/2006/customXml" ds:itemID="{F5854738-4189-437C-95EE-D40260EC46C0}">
  <ds:schemaRefs>
    <ds:schemaRef ds:uri="http://gemini/pivotcustomization/2684bf6c-c136-4b3a-b24a-6735dbb4ac9a"/>
  </ds:schemaRefs>
</ds:datastoreItem>
</file>

<file path=customXml/itemProps24.xml><?xml version="1.0" encoding="utf-8"?>
<ds:datastoreItem xmlns:ds="http://schemas.openxmlformats.org/officeDocument/2006/customXml" ds:itemID="{2876697D-C3F5-4D1F-B7BD-8AA4F82C787E}">
  <ds:schemaRefs>
    <ds:schemaRef ds:uri="http://gemini/pivotcustomization/28fd9597-58a5-456c-86a8-9718bbf1e212"/>
  </ds:schemaRefs>
</ds:datastoreItem>
</file>

<file path=customXml/itemProps25.xml><?xml version="1.0" encoding="utf-8"?>
<ds:datastoreItem xmlns:ds="http://schemas.openxmlformats.org/officeDocument/2006/customXml" ds:itemID="{A64D6D42-2A0F-497C-BBF8-041AD14E5CAE}">
  <ds:schemaRefs>
    <ds:schemaRef ds:uri="http://gemini/pivotcustomization/d2b49c98-9751-4f29-9c34-94abb0772349"/>
  </ds:schemaRefs>
</ds:datastoreItem>
</file>

<file path=customXml/itemProps26.xml><?xml version="1.0" encoding="utf-8"?>
<ds:datastoreItem xmlns:ds="http://schemas.openxmlformats.org/officeDocument/2006/customXml" ds:itemID="{01904BD8-FE8C-43D7-8878-80EFD5EEE6CD}">
  <ds:schemaRefs>
    <ds:schemaRef ds:uri="http://gemini/pivotcustomization/ManualCalcMode"/>
  </ds:schemaRefs>
</ds:datastoreItem>
</file>

<file path=customXml/itemProps27.xml><?xml version="1.0" encoding="utf-8"?>
<ds:datastoreItem xmlns:ds="http://schemas.openxmlformats.org/officeDocument/2006/customXml" ds:itemID="{8A20FD2E-CDA4-4C2A-92A6-CB44556CC04C}">
  <ds:schemaRefs/>
</ds:datastoreItem>
</file>

<file path=customXml/itemProps28.xml><?xml version="1.0" encoding="utf-8"?>
<ds:datastoreItem xmlns:ds="http://schemas.openxmlformats.org/officeDocument/2006/customXml" ds:itemID="{B276FBF1-A6FA-413F-8D35-C111116C1888}">
  <ds:schemaRefs>
    <ds:schemaRef ds:uri="http://gemini/pivotcustomization/f8572808-bcbb-4e7a-b73e-76bcc6cf8f6a"/>
  </ds:schemaRefs>
</ds:datastoreItem>
</file>

<file path=customXml/itemProps29.xml><?xml version="1.0" encoding="utf-8"?>
<ds:datastoreItem xmlns:ds="http://schemas.openxmlformats.org/officeDocument/2006/customXml" ds:itemID="{2E8985EF-CC1D-4002-A913-23732E71A571}">
  <ds:schemaRefs>
    <ds:schemaRef ds:uri="http://gemini/pivotcustomization/414f72f4-bf23-44a9-80b1-da70cb007d80"/>
  </ds:schemaRefs>
</ds:datastoreItem>
</file>

<file path=customXml/itemProps30.xml><?xml version="1.0" encoding="utf-8"?>
<ds:datastoreItem xmlns:ds="http://schemas.openxmlformats.org/officeDocument/2006/customXml" ds:itemID="{339A1947-334E-4C08-B619-8CF1ACBD9353}">
  <ds:schemaRefs>
    <ds:schemaRef ds:uri="http://gemini/pivotcustomization/841d04c5-fdc3-40a3-a199-7ea570da7f5d"/>
  </ds:schemaRefs>
</ds:datastoreItem>
</file>

<file path=customXml/itemProps31.xml><?xml version="1.0" encoding="utf-8"?>
<ds:datastoreItem xmlns:ds="http://schemas.openxmlformats.org/officeDocument/2006/customXml" ds:itemID="{ADE0577E-3EB8-48D8-BBE4-95F5804F5AF3}">
  <ds:schemaRefs>
    <ds:schemaRef ds:uri="http://gemini/pivotcustomization/d58a28c5-49bf-466b-bb76-04c363cf1481"/>
  </ds:schemaRefs>
</ds:datastoreItem>
</file>

<file path=customXml/itemProps32.xml><?xml version="1.0" encoding="utf-8"?>
<ds:datastoreItem xmlns:ds="http://schemas.openxmlformats.org/officeDocument/2006/customXml" ds:itemID="{240BC295-925E-4230-870A-0CB8921FC044}">
  <ds:schemaRefs>
    <ds:schemaRef ds:uri="http://gemini/pivotcustomization/56e3912c-1ae5-4ef6-99d4-5d9eaeda1bca"/>
  </ds:schemaRefs>
</ds:datastoreItem>
</file>

<file path=customXml/itemProps33.xml><?xml version="1.0" encoding="utf-8"?>
<ds:datastoreItem xmlns:ds="http://schemas.openxmlformats.org/officeDocument/2006/customXml" ds:itemID="{8455A4DD-1685-4C95-B40A-201E5D743910}">
  <ds:schemaRefs>
    <ds:schemaRef ds:uri="http://gemini/pivotcustomization/1f2ee7df-26b7-47bc-8041-c8c79b368f69"/>
  </ds:schemaRefs>
</ds:datastoreItem>
</file>

<file path=customXml/itemProps34.xml><?xml version="1.0" encoding="utf-8"?>
<ds:datastoreItem xmlns:ds="http://schemas.openxmlformats.org/officeDocument/2006/customXml" ds:itemID="{DE985DE5-DF92-4042-AAD8-CFBF33D83C5F}">
  <ds:schemaRefs>
    <ds:schemaRef ds:uri="http://gemini/pivotcustomization/54092e77-9507-43b7-92ab-d5bcc62c9a89"/>
  </ds:schemaRefs>
</ds:datastoreItem>
</file>

<file path=customXml/itemProps35.xml><?xml version="1.0" encoding="utf-8"?>
<ds:datastoreItem xmlns:ds="http://schemas.openxmlformats.org/officeDocument/2006/customXml" ds:itemID="{D0580692-C396-4499-AFF4-46E2B751DCC4}">
  <ds:schemaRefs>
    <ds:schemaRef ds:uri="http://gemini/pivotcustomization/c0e3598d-8a62-4228-b582-700cf15b2b0a"/>
  </ds:schemaRefs>
</ds:datastoreItem>
</file>

<file path=customXml/itemProps36.xml><?xml version="1.0" encoding="utf-8"?>
<ds:datastoreItem xmlns:ds="http://schemas.openxmlformats.org/officeDocument/2006/customXml" ds:itemID="{4D901FE9-62A6-4BDD-A95A-ADC994A5418F}">
  <ds:schemaRefs>
    <ds:schemaRef ds:uri="http://gemini/pivotcustomization/43923ff5-a310-4129-858f-62b850093c1e"/>
  </ds:schemaRefs>
</ds:datastoreItem>
</file>

<file path=customXml/itemProps37.xml><?xml version="1.0" encoding="utf-8"?>
<ds:datastoreItem xmlns:ds="http://schemas.openxmlformats.org/officeDocument/2006/customXml" ds:itemID="{B086B6B1-A3F9-4763-930F-34D0852EF8AB}">
  <ds:schemaRefs>
    <ds:schemaRef ds:uri="http://gemini/pivotcustomization/578100ca-c32f-45ae-a478-5834def471be"/>
  </ds:schemaRefs>
</ds:datastoreItem>
</file>

<file path=customXml/itemProps38.xml><?xml version="1.0" encoding="utf-8"?>
<ds:datastoreItem xmlns:ds="http://schemas.openxmlformats.org/officeDocument/2006/customXml" ds:itemID="{0E1ED232-201A-4C1E-B720-3B7599DDBF97}">
  <ds:schemaRefs/>
</ds:datastoreItem>
</file>

<file path=customXml/itemProps39.xml><?xml version="1.0" encoding="utf-8"?>
<ds:datastoreItem xmlns:ds="http://schemas.openxmlformats.org/officeDocument/2006/customXml" ds:itemID="{DA09EFB1-2FD3-4B57-9BAA-BA0C2B7B8A87}">
  <ds:schemaRefs>
    <ds:schemaRef ds:uri="http://gemini/pivotcustomization/18c9a77f-3efe-496a-be51-44f07e58bc47"/>
  </ds:schemaRefs>
</ds:datastoreItem>
</file>

<file path=customXml/itemProps40.xml><?xml version="1.0" encoding="utf-8"?>
<ds:datastoreItem xmlns:ds="http://schemas.openxmlformats.org/officeDocument/2006/customXml" ds:itemID="{A56148A2-2C10-4ACC-ACA5-4AE14F1FED0E}">
  <ds:schemaRefs>
    <ds:schemaRef ds:uri="http://gemini/pivotcustomization/9ec26d00-0dcc-455a-888a-aeb3626d172d"/>
  </ds:schemaRefs>
</ds:datastoreItem>
</file>

<file path=customXml/itemProps41.xml><?xml version="1.0" encoding="utf-8"?>
<ds:datastoreItem xmlns:ds="http://schemas.openxmlformats.org/officeDocument/2006/customXml" ds:itemID="{8FD0ABEE-C4FE-4A13-A81A-C7905FA0DEF1}">
  <ds:schemaRefs>
    <ds:schemaRef ds:uri="http://gemini/pivotcustomization/6b2fa323-edd8-4c0e-b851-c9397bc26c65"/>
  </ds:schemaRefs>
</ds:datastoreItem>
</file>

<file path=customXml/itemProps42.xml><?xml version="1.0" encoding="utf-8"?>
<ds:datastoreItem xmlns:ds="http://schemas.openxmlformats.org/officeDocument/2006/customXml" ds:itemID="{40BA830C-A2B8-4D5B-9228-20E2DF46A740}">
  <ds:schemaRefs>
    <ds:schemaRef ds:uri="http://gemini/pivotcustomization/f2ad8b42-5837-48bc-b29a-2e898a48452e"/>
  </ds:schemaRefs>
</ds:datastoreItem>
</file>

<file path=customXml/itemProps43.xml><?xml version="1.0" encoding="utf-8"?>
<ds:datastoreItem xmlns:ds="http://schemas.openxmlformats.org/officeDocument/2006/customXml" ds:itemID="{BFBDC7C1-5F62-40B2-B222-BA4957448231}">
  <ds:schemaRefs/>
</ds:datastoreItem>
</file>

<file path=customXml/itemProps44.xml><?xml version="1.0" encoding="utf-8"?>
<ds:datastoreItem xmlns:ds="http://schemas.openxmlformats.org/officeDocument/2006/customXml" ds:itemID="{810F682B-57EA-48FF-9D29-020E519423EB}">
  <ds:schemaRefs>
    <ds:schemaRef ds:uri="http://gemini/pivotcustomization/e7d2d1f1-c988-4a65-a1e2-fc25b1a03b74"/>
  </ds:schemaRefs>
</ds:datastoreItem>
</file>

<file path=customXml/itemProps45.xml><?xml version="1.0" encoding="utf-8"?>
<ds:datastoreItem xmlns:ds="http://schemas.openxmlformats.org/officeDocument/2006/customXml" ds:itemID="{B60F2A9E-5C15-4A94-B0FF-100F1A844CAD}">
  <ds:schemaRefs>
    <ds:schemaRef ds:uri="http://gemini/pivotcustomization/74ec4726-3507-49e5-ba02-ba34742b3d45"/>
  </ds:schemaRefs>
</ds:datastoreItem>
</file>

<file path=customXml/itemProps46.xml><?xml version="1.0" encoding="utf-8"?>
<ds:datastoreItem xmlns:ds="http://schemas.openxmlformats.org/officeDocument/2006/customXml" ds:itemID="{027D775C-C286-4CD6-A9D1-5AB773DD140E}">
  <ds:schemaRefs>
    <ds:schemaRef ds:uri="http://gemini/pivotcustomization/e245e9f5-a770-4db8-a6d7-3bdcb263aa5b"/>
  </ds:schemaRefs>
</ds:datastoreItem>
</file>

<file path=customXml/itemProps47.xml><?xml version="1.0" encoding="utf-8"?>
<ds:datastoreItem xmlns:ds="http://schemas.openxmlformats.org/officeDocument/2006/customXml" ds:itemID="{BFE91A6D-010E-44FD-AEAD-0DCBAA933C78}">
  <ds:schemaRefs>
    <ds:schemaRef ds:uri="http://gemini/pivotcustomization/7141e86e-0d82-48a4-b20b-9ec3603f1ccc"/>
  </ds:schemaRefs>
</ds:datastoreItem>
</file>

<file path=customXml/itemProps48.xml><?xml version="1.0" encoding="utf-8"?>
<ds:datastoreItem xmlns:ds="http://schemas.openxmlformats.org/officeDocument/2006/customXml" ds:itemID="{C0C6F98A-052D-4605-9B18-A04A9ED81D8F}">
  <ds:schemaRefs>
    <ds:schemaRef ds:uri="http://gemini/pivotcustomization/bebda422-c324-42ca-9507-6d36fb587880"/>
  </ds:schemaRefs>
</ds:datastoreItem>
</file>

<file path=customXml/itemProps49.xml><?xml version="1.0" encoding="utf-8"?>
<ds:datastoreItem xmlns:ds="http://schemas.openxmlformats.org/officeDocument/2006/customXml" ds:itemID="{2533187B-3B9F-477B-BF48-52C7BD4CCBA6}">
  <ds:schemaRefs>
    <ds:schemaRef ds:uri="http://gemini/pivotcustomization/18028086-7ccd-4d68-b7fe-e5617a302b28"/>
  </ds:schemaRefs>
</ds:datastoreItem>
</file>

<file path=customXml/itemProps50.xml><?xml version="1.0" encoding="utf-8"?>
<ds:datastoreItem xmlns:ds="http://schemas.openxmlformats.org/officeDocument/2006/customXml" ds:itemID="{31926D73-2D12-440D-8E68-FDDA8BDD55B3}">
  <ds:schemaRefs>
    <ds:schemaRef ds:uri="http://gemini/pivotcustomization/218c6ed8-faaf-4cef-b811-66f8082d2a58"/>
  </ds:schemaRefs>
</ds:datastoreItem>
</file>

<file path=customXml/itemProps51.xml><?xml version="1.0" encoding="utf-8"?>
<ds:datastoreItem xmlns:ds="http://schemas.openxmlformats.org/officeDocument/2006/customXml" ds:itemID="{AD016674-21FA-4373-ABEA-64F2F13EECDF}">
  <ds:schemaRefs>
    <ds:schemaRef ds:uri="http://gemini/pivotcustomization/f97b680e-6407-494a-a02d-0c6b68f1e51c"/>
  </ds:schemaRefs>
</ds:datastoreItem>
</file>

<file path=customXml/itemProps52.xml><?xml version="1.0" encoding="utf-8"?>
<ds:datastoreItem xmlns:ds="http://schemas.openxmlformats.org/officeDocument/2006/customXml" ds:itemID="{F13269AB-3164-47A8-AAEC-E463174780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99b90c-062a-495f-9b09-42ec5eb20ba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3.xml><?xml version="1.0" encoding="utf-8"?>
<ds:datastoreItem xmlns:ds="http://schemas.openxmlformats.org/officeDocument/2006/customXml" ds:itemID="{B727EB03-97D4-43CE-A3F5-DE3ED1736100}">
  <ds:schemaRefs>
    <ds:schemaRef ds:uri="http://gemini/pivotcustomization/e46b7329-753f-4ec3-ad77-d5cc14df8621"/>
  </ds:schemaRefs>
</ds:datastoreItem>
</file>

<file path=customXml/itemProps54.xml><?xml version="1.0" encoding="utf-8"?>
<ds:datastoreItem xmlns:ds="http://schemas.openxmlformats.org/officeDocument/2006/customXml" ds:itemID="{4E2B9CEC-DD3B-4257-875D-91C7ADC096C0}">
  <ds:schemaRefs>
    <ds:schemaRef ds:uri="http://gemini/pivotcustomization/7c9f8dc0-1f2e-42c9-946f-e5cecb17be3d"/>
  </ds:schemaRefs>
</ds:datastoreItem>
</file>

<file path=customXml/itemProps55.xml><?xml version="1.0" encoding="utf-8"?>
<ds:datastoreItem xmlns:ds="http://schemas.openxmlformats.org/officeDocument/2006/customXml" ds:itemID="{12F9F23D-1F88-4166-BA67-ADE3B1A92F83}">
  <ds:schemaRefs>
    <ds:schemaRef ds:uri="http://gemini/pivotcustomization/f5be54d5-4318-40b9-aeaa-b17cb030083c"/>
  </ds:schemaRefs>
</ds:datastoreItem>
</file>

<file path=customXml/itemProps56.xml><?xml version="1.0" encoding="utf-8"?>
<ds:datastoreItem xmlns:ds="http://schemas.openxmlformats.org/officeDocument/2006/customXml" ds:itemID="{FD384825-DE98-489E-8CE6-A2E27C0BACB0}">
  <ds:schemaRefs>
    <ds:schemaRef ds:uri="http://gemini/pivotcustomization/c81c892e-44e4-4a93-b89d-2ae98fdff947"/>
  </ds:schemaRefs>
</ds:datastoreItem>
</file>

<file path=customXml/itemProps57.xml><?xml version="1.0" encoding="utf-8"?>
<ds:datastoreItem xmlns:ds="http://schemas.openxmlformats.org/officeDocument/2006/customXml" ds:itemID="{88BC44EE-02F7-439A-9535-8B0668E0A99D}">
  <ds:schemaRefs>
    <ds:schemaRef ds:uri="http://gemini/pivotcustomization/LinkedTableUpdateMode"/>
  </ds:schemaRefs>
</ds:datastoreItem>
</file>

<file path=customXml/itemProps58.xml><?xml version="1.0" encoding="utf-8"?>
<ds:datastoreItem xmlns:ds="http://schemas.openxmlformats.org/officeDocument/2006/customXml" ds:itemID="{B1C427C0-A2D6-4E2E-A715-6771BE255240}">
  <ds:schemaRefs>
    <ds:schemaRef ds:uri="http://gemini/pivotcustomization/TableXML_Calendar"/>
  </ds:schemaRefs>
</ds:datastoreItem>
</file>

<file path=customXml/itemProps59.xml><?xml version="1.0" encoding="utf-8"?>
<ds:datastoreItem xmlns:ds="http://schemas.openxmlformats.org/officeDocument/2006/customXml" ds:itemID="{CF215DE6-1C31-4393-B19A-B45726379FA2}">
  <ds:schemaRefs>
    <ds:schemaRef ds:uri="http://gemini/pivotcustomization/921ac0e5-b713-4c07-b483-c3d0c04b8fa2"/>
  </ds:schemaRefs>
</ds:datastoreItem>
</file>

<file path=customXml/itemProps60.xml><?xml version="1.0" encoding="utf-8"?>
<ds:datastoreItem xmlns:ds="http://schemas.openxmlformats.org/officeDocument/2006/customXml" ds:itemID="{E3382CFD-A782-4E40-9B17-2FE4C24880F8}">
  <ds:schemaRefs>
    <ds:schemaRef ds:uri="http://gemini/pivotcustomization/b1e3735c-54f0-4203-88f1-c2c1ea759ea1"/>
  </ds:schemaRefs>
</ds:datastoreItem>
</file>

<file path=customXml/itemProps61.xml><?xml version="1.0" encoding="utf-8"?>
<ds:datastoreItem xmlns:ds="http://schemas.openxmlformats.org/officeDocument/2006/customXml" ds:itemID="{980D7872-87E7-4B01-8A5B-7BA5CB70AA4F}">
  <ds:schemaRefs>
    <ds:schemaRef ds:uri="http://gemini/pivotcustomization/e8d5b4c5-c144-4d72-91f8-0a4042ee1e03"/>
  </ds:schemaRefs>
</ds:datastoreItem>
</file>

<file path=customXml/itemProps62.xml><?xml version="1.0" encoding="utf-8"?>
<ds:datastoreItem xmlns:ds="http://schemas.openxmlformats.org/officeDocument/2006/customXml" ds:itemID="{4D69BE6B-64AF-488F-B6CF-DB772440665D}">
  <ds:schemaRefs>
    <ds:schemaRef ds:uri="http://gemini/pivotcustomization/0ded0177-f9b8-4795-92b4-49e01319a87b"/>
  </ds:schemaRefs>
</ds:datastoreItem>
</file>

<file path=customXml/itemProps63.xml><?xml version="1.0" encoding="utf-8"?>
<ds:datastoreItem xmlns:ds="http://schemas.openxmlformats.org/officeDocument/2006/customXml" ds:itemID="{5B5CE991-B2BC-41D8-8A58-87F07CE88943}">
  <ds:schemaRefs>
    <ds:schemaRef ds:uri="http://gemini/pivotcustomization/f700585f-11d2-4200-a595-dd11d9265921"/>
  </ds:schemaRefs>
</ds:datastoreItem>
</file>

<file path=customXml/itemProps64.xml><?xml version="1.0" encoding="utf-8"?>
<ds:datastoreItem xmlns:ds="http://schemas.openxmlformats.org/officeDocument/2006/customXml" ds:itemID="{D5F4953C-0D91-46CC-B786-CB684C30A4B7}">
  <ds:schemaRefs>
    <ds:schemaRef ds:uri="http://gemini/pivotcustomization/2bb82f65-5a16-44d1-a82c-835281686b06"/>
  </ds:schemaRefs>
</ds:datastoreItem>
</file>

<file path=customXml/itemProps65.xml><?xml version="1.0" encoding="utf-8"?>
<ds:datastoreItem xmlns:ds="http://schemas.openxmlformats.org/officeDocument/2006/customXml" ds:itemID="{BB08AD2F-ED83-4949-ACC1-A7DFFF3A386D}">
  <ds:schemaRefs>
    <ds:schemaRef ds:uri="http://gemini/pivotcustomization/FormulaBarState"/>
  </ds:schemaRefs>
</ds:datastoreItem>
</file>

<file path=customXml/itemProps66.xml><?xml version="1.0" encoding="utf-8"?>
<ds:datastoreItem xmlns:ds="http://schemas.openxmlformats.org/officeDocument/2006/customXml" ds:itemID="{CC095C8E-4538-4137-AF76-7F8B281537F8}">
  <ds:schemaRefs/>
</ds:datastoreItem>
</file>

<file path=customXml/itemProps67.xml><?xml version="1.0" encoding="utf-8"?>
<ds:datastoreItem xmlns:ds="http://schemas.openxmlformats.org/officeDocument/2006/customXml" ds:itemID="{006737D2-F4ED-4597-AD20-EFC4E414701F}">
  <ds:schemaRefs/>
</ds:datastoreItem>
</file>

<file path=customXml/itemProps68.xml><?xml version="1.0" encoding="utf-8"?>
<ds:datastoreItem xmlns:ds="http://schemas.openxmlformats.org/officeDocument/2006/customXml" ds:itemID="{111E756A-09DD-41FC-9FFA-777FC43FDEC7}">
  <ds:schemaRefs/>
</ds:datastoreItem>
</file>

<file path=customXml/itemProps69.xml><?xml version="1.0" encoding="utf-8"?>
<ds:datastoreItem xmlns:ds="http://schemas.openxmlformats.org/officeDocument/2006/customXml" ds:itemID="{16BE1DBD-14F8-4DCA-BF33-7A0478DAE521}">
  <ds:schemaRefs>
    <ds:schemaRef ds:uri="http://schemas.microsoft.com/DataMashup"/>
  </ds:schemaRefs>
</ds:datastoreItem>
</file>

<file path=customXml/itemProps70.xml><?xml version="1.0" encoding="utf-8"?>
<ds:datastoreItem xmlns:ds="http://schemas.openxmlformats.org/officeDocument/2006/customXml" ds:itemID="{D12234A5-51FE-4C69-B5B2-05B5740C5E05}">
  <ds:schemaRefs/>
</ds:datastoreItem>
</file>

<file path=customXml/itemProps71.xml><?xml version="1.0" encoding="utf-8"?>
<ds:datastoreItem xmlns:ds="http://schemas.openxmlformats.org/officeDocument/2006/customXml" ds:itemID="{BC57151C-3567-4E51-8C5B-A3F2D0A62FE8}">
  <ds:schemaRefs/>
</ds:datastoreItem>
</file>

<file path=customXml/itemProps72.xml><?xml version="1.0" encoding="utf-8"?>
<ds:datastoreItem xmlns:ds="http://schemas.openxmlformats.org/officeDocument/2006/customXml" ds:itemID="{8697E991-D257-44DA-8ADA-0936CEEF4F2C}">
  <ds:schemaRefs/>
</ds:datastoreItem>
</file>

<file path=customXml/itemProps73.xml><?xml version="1.0" encoding="utf-8"?>
<ds:datastoreItem xmlns:ds="http://schemas.openxmlformats.org/officeDocument/2006/customXml" ds:itemID="{3095E1E4-1F02-40F7-96B9-A20FDA952B0D}">
  <ds:schemaRefs/>
</ds:datastoreItem>
</file>

<file path=customXml/itemProps74.xml><?xml version="1.0" encoding="utf-8"?>
<ds:datastoreItem xmlns:ds="http://schemas.openxmlformats.org/officeDocument/2006/customXml" ds:itemID="{DC6D11F0-8519-4862-BED7-A97AA439EBC2}">
  <ds:schemaRefs/>
</ds:datastoreItem>
</file>

<file path=customXml/itemProps75.xml><?xml version="1.0" encoding="utf-8"?>
<ds:datastoreItem xmlns:ds="http://schemas.openxmlformats.org/officeDocument/2006/customXml" ds:itemID="{3663BD2E-CD37-4450-8AE5-02BDE9B3B3CB}">
  <ds:schemaRefs/>
</ds:datastoreItem>
</file>

<file path=customXml/itemProps76.xml><?xml version="1.0" encoding="utf-8"?>
<ds:datastoreItem xmlns:ds="http://schemas.openxmlformats.org/officeDocument/2006/customXml" ds:itemID="{C120B37E-C544-4E3A-A633-E6ACF8435060}">
  <ds:schemaRefs/>
</ds:datastoreItem>
</file>

<file path=customXml/itemProps77.xml><?xml version="1.0" encoding="utf-8"?>
<ds:datastoreItem xmlns:ds="http://schemas.openxmlformats.org/officeDocument/2006/customXml" ds:itemID="{6089A7B0-3C3F-443D-A345-D3BAB9494C2E}">
  <ds:schemaRefs/>
</ds:datastoreItem>
</file>

<file path=customXml/itemProps78.xml><?xml version="1.0" encoding="utf-8"?>
<ds:datastoreItem xmlns:ds="http://schemas.openxmlformats.org/officeDocument/2006/customXml" ds:itemID="{DF778575-4D06-4E1E-8995-0BD8E21DF393}">
  <ds:schemaRefs/>
</ds:datastoreItem>
</file>

<file path=customXml/itemProps79.xml><?xml version="1.0" encoding="utf-8"?>
<ds:datastoreItem xmlns:ds="http://schemas.openxmlformats.org/officeDocument/2006/customXml" ds:itemID="{A525155D-56FD-48F0-849B-49F066D9C506}">
  <ds:schemaRefs/>
</ds:datastoreItem>
</file>

<file path=customXml/itemProps80.xml><?xml version="1.0" encoding="utf-8"?>
<ds:datastoreItem xmlns:ds="http://schemas.openxmlformats.org/officeDocument/2006/customXml" ds:itemID="{7160B2A5-87CD-4546-941E-8BF0B0AC4C7A}">
  <ds:schemaRefs/>
</ds:datastoreItem>
</file>

<file path=customXml/itemProps81.xml><?xml version="1.0" encoding="utf-8"?>
<ds:datastoreItem xmlns:ds="http://schemas.openxmlformats.org/officeDocument/2006/customXml" ds:itemID="{24D8BA1B-01DB-47C3-985C-2F60E737837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Dashbord Performance comercial</vt:lpstr>
      <vt:lpstr>SheetDashPerformace</vt:lpstr>
      <vt:lpstr>Dim_Gestor</vt:lpstr>
      <vt:lpstr>Dim_Clientes</vt:lpstr>
      <vt:lpstr>tb_Vendas_Cliente</vt:lpstr>
      <vt:lpstr>Dim_Produtos</vt:lpstr>
      <vt:lpstr>Sales_Value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UA Tania</dc:creator>
  <cp:keywords/>
  <dc:description/>
  <cp:lastModifiedBy>Tetiana Iakusevych</cp:lastModifiedBy>
  <cp:revision/>
  <dcterms:created xsi:type="dcterms:W3CDTF">2025-07-21T09:59:32Z</dcterms:created>
  <dcterms:modified xsi:type="dcterms:W3CDTF">2026-03-31T11:57:56Z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0x010100C7D898B6C898ED4AB1A5282424B728EF</vt:lpwstr>
  </property>
</Properties>
</file>